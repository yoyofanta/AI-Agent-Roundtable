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8955"/>
  </bookViews>
  <sheets>
    <sheet name="功能测试用例" sheetId="1" r:id="rId1"/>
    <sheet name="统计汇总" sheetId="2" r:id="rId2"/>
    <sheet name="数据字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<sst xmlns="http://schemas.openxmlformats.org/spreadsheetml/2006/main" count="756" uniqueCount="380">
  <si>
    <t>AI Agent 多角色圆桌对谈与剧本生成系统功能测试用例表</t>
  </si>
  <si>
    <t>生成日期：2026-07-09    测试范围：登录注册、内容生成、多 Agent 圆桌、Tool Calling、RAG、Memory、自定义 Agent、文档与自动化测试</t>
  </si>
  <si>
    <t>用例编号</t>
  </si>
  <si>
    <t>一级模块</t>
  </si>
  <si>
    <t>二级功能/测试点</t>
  </si>
  <si>
    <t>用例标题</t>
  </si>
  <si>
    <t>前置条件</t>
  </si>
  <si>
    <t>操作步骤</t>
  </si>
  <si>
    <t>测试数据</t>
  </si>
  <si>
    <t>预期结果</t>
  </si>
  <si>
    <t>实际结果</t>
  </si>
  <si>
    <t>优先级</t>
  </si>
  <si>
    <t>严重程度</t>
  </si>
  <si>
    <t>测试类型</t>
  </si>
  <si>
    <t>执行状态</t>
  </si>
  <si>
    <t>回归结果</t>
  </si>
  <si>
    <t>备注</t>
  </si>
  <si>
    <t>TC-001</t>
  </si>
  <si>
    <t>登录注册</t>
  </si>
  <si>
    <t>页面访问</t>
  </si>
  <si>
    <t>未登录访问系统自动跳转登录页</t>
  </si>
  <si>
    <t>浏览器未登录，localStorage 无 token</t>
  </si>
  <si>
    <t>打开 http://localhost:5174 或 /app/tree-hole?view=content</t>
  </si>
  <si>
    <t>token 为空</t>
  </si>
  <si>
    <t>跳转到登录/注册页，不直接进入系统页面</t>
  </si>
  <si>
    <t>与预期一致</t>
  </si>
  <si>
    <t>P0</t>
  </si>
  <si>
    <t>高</t>
  </si>
  <si>
    <t>功能/鉴权</t>
  </si>
  <si>
    <t>通过</t>
  </si>
  <si>
    <t>验证路由守卫</t>
  </si>
  <si>
    <t>TC-002</t>
  </si>
  <si>
    <t>注册</t>
  </si>
  <si>
    <t>新用户注册后自动登录</t>
  </si>
  <si>
    <t>打开登录页</t>
  </si>
  <si>
    <t>切换到注册，输入新用户名和密码，点击注册</t>
  </si>
  <si>
    <t>username=test01；password=123456</t>
  </si>
  <si>
    <t>注册成功，保存 token 和当前用户，自动进入内容选择页</t>
  </si>
  <si>
    <t>登录后默认进入多 Agent 协助页，
未进入生成方式选择页</t>
  </si>
  <si>
    <t>功能</t>
  </si>
  <si>
    <t>失败</t>
  </si>
  <si>
    <t>BUG-001</t>
  </si>
  <si>
    <t>TC-003</t>
  </si>
  <si>
    <t>登录</t>
  </si>
  <si>
    <t>已有账号正确登录</t>
  </si>
  <si>
    <t>已有账号存在</t>
  </si>
  <si>
    <t>输入正确用户名和密码，点击登录</t>
  </si>
  <si>
    <t>demo / 123456</t>
  </si>
  <si>
    <t>登录成功，进入内容页，默认展示两个生成入口</t>
  </si>
  <si>
    <t>游客登录失败，提示未获取到 token</t>
  </si>
  <si>
    <t/>
  </si>
  <si>
    <t>TC-004</t>
  </si>
  <si>
    <t>登录异常</t>
  </si>
  <si>
    <t>错误密码登录失败</t>
  </si>
  <si>
    <t>输入正确用户名和错误密码，点击登录</t>
  </si>
  <si>
    <t>demo / wrongpwd</t>
  </si>
  <si>
    <t>提示登录失败，不保存 token，不进入系统</t>
  </si>
  <si>
    <t>P1</t>
  </si>
  <si>
    <t>中</t>
  </si>
  <si>
    <t>异常</t>
  </si>
  <si>
    <t>BUG-002</t>
  </si>
  <si>
    <t>TC-005</t>
  </si>
  <si>
    <t>游客登录</t>
  </si>
  <si>
    <t>游客登录进入系统</t>
  </si>
  <si>
    <t>点击游客登录按钮</t>
  </si>
  <si>
    <t>游客账号自动生成</t>
  </si>
  <si>
    <t>游客登录成功，进入内容选择页，并保存游客用户名</t>
  </si>
  <si>
    <t>TC-006</t>
  </si>
  <si>
    <t>退出登录</t>
  </si>
  <si>
    <t>退出登录清除状态</t>
  </si>
  <si>
    <t>已登录</t>
  </si>
  <si>
    <t>进入我的页，点击退出登录</t>
  </si>
  <si>
    <t>当前 token 有效</t>
  </si>
  <si>
    <t>清除 token 和当前用户，返回登录页</t>
  </si>
  <si>
    <t>TC-007</t>
  </si>
  <si>
    <t>页面导航</t>
  </si>
  <si>
    <t>内容页</t>
  </si>
  <si>
    <t>登录后默认进入内容选择页</t>
  </si>
  <si>
    <t>打开 /app/tree-hole?view=content</t>
  </si>
  <si>
    <t>无</t>
  </si>
  <si>
    <t>页面只显示“多 Agent 协助生成”和“直接生成方案”两个入口</t>
  </si>
  <si>
    <t>UI/功能</t>
  </si>
  <si>
    <t>BUG-013</t>
  </si>
  <si>
    <t>TC-008</t>
  </si>
  <si>
    <t>底部导航</t>
  </si>
  <si>
    <t>底部导航切换页面</t>
  </si>
  <si>
    <t>依次点击 内容、知识库、我的</t>
  </si>
  <si>
    <t>页面能在三个模块间正常切换，选中状态正确</t>
  </si>
  <si>
    <t>底部导航仍保留旧“圆桌”独立入口</t>
  </si>
  <si>
    <t>BUG-019</t>
  </si>
  <si>
    <t>TC-009</t>
  </si>
  <si>
    <t>内容生产</t>
  </si>
  <si>
    <t>方式选择</t>
  </si>
  <si>
    <t>选择直接生成方案</t>
  </si>
  <si>
    <t>已登录，进入内容选择页</t>
  </si>
  <si>
    <t>点击“直接生成方案”卡片</t>
  </si>
  <si>
    <t>进入剧本方案生成表单页</t>
  </si>
  <si>
    <t>内容选择页误显示“先分析内容”和“生成剧本方案”按钮具体需求输入框显示为普通文字</t>
  </si>
  <si>
    <r>
      <t>BUG-005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BUG-006</t>
    </r>
  </si>
  <si>
    <t>TC-010</t>
  </si>
  <si>
    <t>选择多 Agent 协助生成</t>
  </si>
  <si>
    <t>点击“多 Agent 协助生成”卡片</t>
  </si>
  <si>
    <t>进入多 Agent 圆桌页面</t>
  </si>
  <si>
    <t>TC-011</t>
  </si>
  <si>
    <t>表单展示</t>
  </si>
  <si>
    <t>直接生成页表单字段完整</t>
  </si>
  <si>
    <t>进入直接生成方案页</t>
  </si>
  <si>
    <t>查看页面输入项</t>
  </si>
  <si>
    <t>展示题材类型、平台场景、目标受众、内容风格、具体需求输入框</t>
  </si>
  <si>
    <t>TC-012</t>
  </si>
  <si>
    <t>输入框</t>
  </si>
  <si>
    <t>具体需求为可编辑多行文本框</t>
  </si>
  <si>
    <t>查看并编辑具体需求输入框</t>
  </si>
  <si>
    <t>女主被误会后离开...</t>
  </si>
  <si>
    <t>输入框显示正常，可编辑多行文本，不再出现标签错乱文字</t>
  </si>
  <si>
    <t>UI/回归</t>
  </si>
  <si>
    <t>对应历史 Bug 回归</t>
  </si>
  <si>
    <t>TC-013</t>
  </si>
  <si>
    <t>Tool Calling</t>
  </si>
  <si>
    <t>内容分析</t>
  </si>
  <si>
    <t>点击先分析内容返回结构化结果</t>
  </si>
  <si>
    <t>直接生成页已填写需求</t>
  </si>
  <si>
    <t>点击“先分析内容”</t>
  </si>
  <si>
    <t>追妻火葬场、误会、离开、追悔</t>
  </si>
  <si>
    <t>展示冲突强度、情绪基调、推荐标签、优化建议</t>
  </si>
  <si>
    <t>点击“先分析内容”后结果均为未识别</t>
  </si>
  <si>
    <t>功能/AI</t>
  </si>
  <si>
    <t>BUG-007</t>
  </si>
  <si>
    <t>TC-014</t>
  </si>
  <si>
    <t>字段兼容</t>
  </si>
  <si>
    <t>后端字段不一致时前端兜底分析</t>
  </si>
  <si>
    <t>模拟接口返回字段缺失或不规范</t>
  </si>
  <si>
    <t>返回空字段或异常字段</t>
  </si>
  <si>
    <t>前端使用兜底规则，不显示全部“未识别”</t>
  </si>
  <si>
    <t>异常/回归</t>
  </si>
  <si>
    <t>TC-015</t>
  </si>
  <si>
    <t>直接生成</t>
  </si>
  <si>
    <t>直接生成剧本方案</t>
  </si>
  <si>
    <t>完成内容分析或未分析</t>
  </si>
  <si>
    <t>点击“直接生成剧本方案”</t>
  </si>
  <si>
    <t>题材=追妻火葬场；平台=短视频漫剧</t>
  </si>
  <si>
    <t>生成包含故事简介、人物设定、核心冲突、分集大纲、关键对白、标题标签和运营建议的方案</t>
  </si>
  <si>
    <t>直接生成与多 Agent 协助生成结果差异不明显</t>
  </si>
  <si>
    <t>BUG-008</t>
  </si>
  <si>
    <t>TC-016</t>
  </si>
  <si>
    <t>空输入校验</t>
  </si>
  <si>
    <t>无需求时直接生成拦截</t>
  </si>
  <si>
    <t>直接生成页</t>
  </si>
  <si>
    <t>清空具体需求且无圆桌总结，点击生成</t>
  </si>
  <si>
    <t>空需求</t>
  </si>
  <si>
    <t>系统提示请输入具体需求或先通过圆桌带入总结</t>
  </si>
  <si>
    <t>TC-017</t>
  </si>
  <si>
    <t>多 Agent 圆桌</t>
  </si>
  <si>
    <t>页面展示</t>
  </si>
  <si>
    <t>圆桌页展示 Agent 卡片</t>
  </si>
  <si>
    <t>进入多 Agent 协助生成页</t>
  </si>
  <si>
    <t>查看 Agent 列表</t>
  </si>
  <si>
    <t>展示 16 型人格 Agent 卡片，含名称、图标、角色描述和性别选项</t>
  </si>
  <si>
    <t>TC-018</t>
  </si>
  <si>
    <t>默认选择</t>
  </si>
  <si>
    <t>默认选中 4 个 Agent</t>
  </si>
  <si>
    <t>进入圆桌页</t>
  </si>
  <si>
    <t>查看右上角已选数量</t>
  </si>
  <si>
    <t>默认已选 4/4，页面显示选中状态</t>
  </si>
  <si>
    <t>P2</t>
  </si>
  <si>
    <t>低</t>
  </si>
  <si>
    <t>UI</t>
  </si>
  <si>
    <t>TC-019</t>
  </si>
  <si>
    <t>数量上限</t>
  </si>
  <si>
    <t>最多选择 4 个 Agent</t>
  </si>
  <si>
    <t>圆桌页</t>
  </si>
  <si>
    <t>在已选 4 个基础上继续选择其他 Agent</t>
  </si>
  <si>
    <t>第 5 个 Agent</t>
  </si>
  <si>
    <t>系统提示最多选择 4 个 Agent，不新增选中</t>
  </si>
  <si>
    <t>选择超过 4 个 Agent 时缺少限制</t>
  </si>
  <si>
    <t>边界/异常</t>
  </si>
  <si>
    <t>BUG-009</t>
  </si>
  <si>
    <t>TC-020</t>
  </si>
  <si>
    <t>数量下限</t>
  </si>
  <si>
    <t>少于 2 个 Agent 不允许开始圆桌</t>
  </si>
  <si>
    <t>取消到只剩 1 个 Agent，点击开始圆桌讨论</t>
  </si>
  <si>
    <t>1 个 Agent</t>
  </si>
  <si>
    <t>系统提示至少选择 2 个 Agent</t>
  </si>
  <si>
    <t>少于 2 个 Agent 仍可尝试开始圆桌</t>
  </si>
  <si>
    <t>BUG-010</t>
  </si>
  <si>
    <t>TC-021</t>
  </si>
  <si>
    <t>性别设定</t>
  </si>
  <si>
    <t>Agent 性别设定可切换</t>
  </si>
  <si>
    <t>点击 Agent 卡片的 不限/男/女</t>
  </si>
  <si>
    <t>INTJ 设置为男，INFP 设置为女</t>
  </si>
  <si>
    <t>按钮选中状态更新，Prompt 中带入对应性别设定</t>
  </si>
  <si>
    <t>TC-022</t>
  </si>
  <si>
    <t>发起讨论</t>
  </si>
  <si>
    <t>2-4 个 Agent 依次发言</t>
  </si>
  <si>
    <t>已选择 2-4 个 Agent，填写议题</t>
  </si>
  <si>
    <t>点击开始圆桌讨论</t>
  </si>
  <si>
    <t>追妻火葬场漫剧议题</t>
  </si>
  <si>
    <t>每个被选 Agent 至少生成一段发言</t>
  </si>
  <si>
    <t>TC-023</t>
  </si>
  <si>
    <t>发言差异</t>
  </si>
  <si>
    <t>不同 Agent 回复视角不同</t>
  </si>
  <si>
    <t>完成圆桌讨论</t>
  </si>
  <si>
    <t>观察 INTJ、INFP、ENTP、ESTJ 发言</t>
  </si>
  <si>
    <t>同一议题</t>
  </si>
  <si>
    <t>发言体现结构、共情、创意、执行等差异，避免简单重复</t>
  </si>
  <si>
    <t>AI专项</t>
  </si>
  <si>
    <t>TC-024</t>
  </si>
  <si>
    <t>圆桌总结</t>
  </si>
  <si>
    <t>生成圆桌总结</t>
  </si>
  <si>
    <t>圆桌讨论完成</t>
  </si>
  <si>
    <t>查看总结区域</t>
  </si>
  <si>
    <t>Agent 发言列表</t>
  </si>
  <si>
    <t>生成综合总结，能提炼多 Agent 核心观点</t>
  </si>
  <si>
    <t>Agent 卡片模板语法错误导致页面编译失败</t>
  </si>
  <si>
    <t>BUG-012</t>
  </si>
  <si>
    <t>TC-025</t>
  </si>
  <si>
    <t>圆桌带入</t>
  </si>
  <si>
    <t>带入剧本生成</t>
  </si>
  <si>
    <t>圆桌总结一键带入内容生成</t>
  </si>
  <si>
    <t>已有圆桌总结</t>
  </si>
  <si>
    <t>点击“带入剧本生成”</t>
  </si>
  <si>
    <t>圆桌总结文本</t>
  </si>
  <si>
    <t>自动跳转到直接生成页，展示“已带入多 Agent 圆桌总结”区域</t>
  </si>
  <si>
    <t>功能/回归</t>
  </si>
  <si>
    <t>TC-026</t>
  </si>
  <si>
    <t>清空旧分析结果</t>
  </si>
  <si>
    <t>圆桌带入后重新 Tool Calling 分析</t>
  </si>
  <si>
    <t>先执行一次直接分析，再圆桌带入</t>
  </si>
  <si>
    <t>点击生成最终方案</t>
  </si>
  <si>
    <t>原始需求 + 圆桌总结</t>
  </si>
  <si>
    <t>旧 Tool Calling 结果被清空，重新分析新内容</t>
  </si>
  <si>
    <r>
      <t>圆桌总结带入后仍沿用旧</t>
    </r>
    <r>
      <rPr>
        <sz val="11"/>
        <rFont val="Carlito"/>
        <charset val="134"/>
      </rPr>
      <t xml:space="preserve"> Tool Calling </t>
    </r>
    <r>
      <rPr>
        <sz val="11"/>
        <rFont val="宋体"/>
        <charset val="134"/>
      </rPr>
      <t>结果</t>
    </r>
  </si>
  <si>
    <t>回归/AI</t>
  </si>
  <si>
    <t>BUG-011</t>
  </si>
  <si>
    <t>TC-027</t>
  </si>
  <si>
    <t>最终方案差异</t>
  </si>
  <si>
    <t>圆桌方案区别于直接生成</t>
  </si>
  <si>
    <t>先完成圆桌总结带入</t>
  </si>
  <si>
    <t>点击基于圆桌总结生成最终方案</t>
  </si>
  <si>
    <t>圆桌总结存在</t>
  </si>
  <si>
    <t>结果包含圆桌讨论结论、观点采纳情况、最终剧本方案和影响说明</t>
  </si>
  <si>
    <t>TC-028</t>
  </si>
  <si>
    <t>自定义 Agent</t>
  </si>
  <si>
    <t>展开编辑器</t>
  </si>
  <si>
    <t>点击新建人格/角色</t>
  </si>
  <si>
    <t>点击“+ 新建人格 / 角色”</t>
  </si>
  <si>
    <t>展开自定义 Agent 表单</t>
  </si>
  <si>
    <t>TC-029</t>
  </si>
  <si>
    <t>创建自定义 Agent</t>
  </si>
  <si>
    <t>自定义表单已展开</t>
  </si>
  <si>
    <t>填写角色名称、参考人格、性别、头像、角色设定并保存</t>
  </si>
  <si>
    <t>毒舌女编剧 / ENTP / 女 / 🎭</t>
  </si>
  <si>
    <t>自定义 Agent 保存成功并自动加入圆桌</t>
  </si>
  <si>
    <t>自定义 Agent 保存后未自动加入圆桌</t>
  </si>
  <si>
    <t>BUG-014</t>
  </si>
  <si>
    <t>TC-030</t>
  </si>
  <si>
    <t>必填校验</t>
  </si>
  <si>
    <t>缺少角色名称或角色设定</t>
  </si>
  <si>
    <t>展开自定义表单</t>
  </si>
  <si>
    <t>不填角色名称或角色设定，点击保存</t>
  </si>
  <si>
    <t>空名称或空设定</t>
  </si>
  <si>
    <t>系统提示必须填写相关字段</t>
  </si>
  <si>
    <t>TC-031</t>
  </si>
  <si>
    <t>删除自定义 Agent</t>
  </si>
  <si>
    <t>已有自定义 Agent</t>
  </si>
  <si>
    <t>点击自定义 Agent 卡片上的删除</t>
  </si>
  <si>
    <t>自定义 Agent code</t>
  </si>
  <si>
    <t>Agent 从列表移除，已选列表同步移除</t>
  </si>
  <si>
    <t>删除自定义 Agent 后已选数量未同步变化</t>
  </si>
  <si>
    <t>BUG-015</t>
  </si>
  <si>
    <t>TC-032</t>
  </si>
  <si>
    <t>RAG 知识库</t>
  </si>
  <si>
    <t>进入知识库页</t>
  </si>
  <si>
    <t>点击底部导航“知识库”</t>
  </si>
  <si>
    <t>进入 Agent 内容知识库页面</t>
  </si>
  <si>
    <t>TC-033</t>
  </si>
  <si>
    <t>知识库问答</t>
  </si>
  <si>
    <t>输入问题并点击 RAG 生成回答</t>
  </si>
  <si>
    <t>追妻火葬场题材怎么设计强冲突开场？</t>
  </si>
  <si>
    <t>返回知识增强回答，内容与问题相关</t>
  </si>
  <si>
    <t>知识库问答返回结果为空</t>
  </si>
  <si>
    <t>BUG-016</t>
  </si>
  <si>
    <t>TC-034</t>
  </si>
  <si>
    <t>命中片段展示</t>
  </si>
  <si>
    <t>完成 RAG 问答</t>
  </si>
  <si>
    <t>查看命中知识片段区域</t>
  </si>
  <si>
    <t>topK=5</t>
  </si>
  <si>
    <t>展示相关知识片段标题和内容</t>
  </si>
  <si>
    <t>TC-035</t>
  </si>
  <si>
    <t>RAG 存档</t>
  </si>
  <si>
    <t>存档当前问答</t>
  </si>
  <si>
    <t>已生成 RAG 回答</t>
  </si>
  <si>
    <t>点击存档当前问答</t>
  </si>
  <si>
    <t>当前问题和回答</t>
  </si>
  <si>
    <t>存档列表新增记录，包含问题、回答和时间</t>
  </si>
  <si>
    <t>TC-036</t>
  </si>
  <si>
    <t>删除存档</t>
  </si>
  <si>
    <t>已有 RAG 存档</t>
  </si>
  <si>
    <t>点击存档卡片删除按钮</t>
  </si>
  <si>
    <t>存档 id</t>
  </si>
  <si>
    <t>对应存档从列表移除</t>
  </si>
  <si>
    <t>RAG 问答存档删除后页面未及时刷新</t>
  </si>
  <si>
    <t>BUG-018</t>
  </si>
  <si>
    <t>TC-037</t>
  </si>
  <si>
    <t>账号隔离</t>
  </si>
  <si>
    <t>RAG 存档隔离</t>
  </si>
  <si>
    <t>存在两个账号</t>
  </si>
  <si>
    <t>账号 A 存档，退出后账号 B 登录查看</t>
  </si>
  <si>
    <t>A/B 两个账号</t>
  </si>
  <si>
    <t>账号 B 不显示账号 A 的本地存档</t>
  </si>
  <si>
    <t>RAG 问答存档未按账号隔离</t>
  </si>
  <si>
    <t>安全/回归</t>
  </si>
  <si>
    <t>BUG-017</t>
  </si>
  <si>
    <t>TC-038</t>
  </si>
  <si>
    <t>圆桌历史隔离</t>
  </si>
  <si>
    <t>账号 A 生成圆桌历史，账号 B 登录查看</t>
  </si>
  <si>
    <t>账号 B 不显示账号 A 的圆桌历史</t>
  </si>
  <si>
    <t>不同账号可看到相同圆桌历史记录</t>
  </si>
  <si>
    <t>BUG-003</t>
  </si>
  <si>
    <t>TC-039</t>
  </si>
  <si>
    <t>我的页面</t>
  </si>
  <si>
    <t>系统能力展示</t>
  </si>
  <si>
    <t>点击底部导航“我的”</t>
  </si>
  <si>
    <t>展示项目能力：多 Agent、RAG、Memory、Tool Calling、测试文档等</t>
  </si>
  <si>
    <t>UI/文案</t>
  </si>
  <si>
    <t>TC-040</t>
  </si>
  <si>
    <t>旧文案清理</t>
  </si>
  <si>
    <t>进入我的页和登录页</t>
  </si>
  <si>
    <t>检查页面文案</t>
  </si>
  <si>
    <t>不出现 MoodBoard × MBTI、情绪树洞、居民卡等旧文案</t>
  </si>
  <si>
    <t>TC-041</t>
  </si>
  <si>
    <t>接口联调</t>
  </si>
  <si>
    <t>后端异常兜底</t>
  </si>
  <si>
    <t>关闭或模拟 Tool Calling 接口异常</t>
  </si>
  <si>
    <t>点击先分析内容</t>
  </si>
  <si>
    <t>后端异常</t>
  </si>
  <si>
    <t>前端显示兜底分析结果或友好错误提示，不白屏</t>
  </si>
  <si>
    <t>异常/接口</t>
  </si>
  <si>
    <t>TC-042</t>
  </si>
  <si>
    <t>兼容性</t>
  </si>
  <si>
    <t>Chrome 浏览器展示</t>
  </si>
  <si>
    <t>Chrome 打开项目</t>
  </si>
  <si>
    <t>依次查看内容、圆桌、知识库、我的页面</t>
  </si>
  <si>
    <t>1920×1080 分辨率</t>
  </si>
  <si>
    <t>页面无明显错位，核心按钮可点击</t>
  </si>
  <si>
    <t>TC-043</t>
  </si>
  <si>
    <t>Edge 浏览器展示</t>
  </si>
  <si>
    <t>Edge 打开项目</t>
  </si>
  <si>
    <t>Edge 最新版</t>
  </si>
  <si>
    <t>TC-044</t>
  </si>
  <si>
    <t>测试文档</t>
  </si>
  <si>
    <t>README 一致性</t>
  </si>
  <si>
    <t>打开 README.md</t>
  </si>
  <si>
    <t>检查项目名称和功能说明</t>
  </si>
  <si>
    <t>README 与当前 AI Agent 剧本生成系统一致，无旧项目描述</t>
  </si>
  <si>
    <t>文档</t>
  </si>
  <si>
    <t>TC-045</t>
  </si>
  <si>
    <t>自动化测试</t>
  </si>
  <si>
    <t>pytest 报告生成</t>
  </si>
  <si>
    <t>后端已启动</t>
  </si>
  <si>
    <t>执行 pytest 命令</t>
  </si>
  <si>
    <t>tests/test_api_pytest.py</t>
  </si>
  <si>
    <t>测试通过并生成 tests/reports/api_report.html</t>
  </si>
  <si>
    <t>pytest 命令无法识别</t>
  </si>
  <si>
    <t>自动化</t>
  </si>
  <si>
    <t>BUG-004</t>
  </si>
  <si>
    <t>功能测试用例统计汇总</t>
  </si>
  <si>
    <t>统计项</t>
  </si>
  <si>
    <t>数量</t>
  </si>
  <si>
    <t>用例数量</t>
  </si>
  <si>
    <t>通过数</t>
  </si>
  <si>
    <t>用例总数</t>
  </si>
  <si>
    <t>失败数</t>
  </si>
  <si>
    <t>待执行数</t>
  </si>
  <si>
    <t>阻塞数</t>
  </si>
  <si>
    <t>说明：本表用于面试和项目提交展示，执行状态可按实际测试结果更新；下拉选项来源于“数据字典”工作表。</t>
  </si>
  <si>
    <t>待执行</t>
  </si>
  <si>
    <t>P3</t>
  </si>
  <si>
    <t>阻塞</t>
  </si>
  <si>
    <t>接口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</si>
</sst>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6"/>
      <color rgb="FFFFFFFF"/>
      <name val="Carlito"/>
      <charset val="134"/>
    </font>
    <font>
      <sz val="11"/>
      <color rgb="FF7F6000"/>
      <name val="Carlito"/>
      <charset val="134"/>
    </font>
    <font>
      <i/>
      <sz val="11"/>
      <color rgb="FF1F4E79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2" fillId="3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/>
    <xf numFmtId="0" fontId="3" fillId="4" borderId="0" xfId="49" applyNumberFormat="1" applyFont="1" applyFill="1" applyBorder="1" applyAlignment="1">
      <alignment wrapText="1"/>
    </xf>
    <xf numFmtId="0" fontId="4" fillId="5" borderId="0" xfId="49" applyNumberFormat="1" applyFont="1" applyFill="1" applyBorder="1" applyAlignment="1">
      <alignment horizontal="left" vertical="center"/>
    </xf>
    <xf numFmtId="0" fontId="0" fillId="0" borderId="0" xfId="49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vertical="top" wrapText="1"/>
    </xf>
    <xf numFmtId="0" fontId="0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99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8CBA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unctionalCasesTable" displayName="FunctionalCasesTable" ref="A4:O50">
  <tableColumns count="15">
    <tableColumn id="1" name="用例编号"/>
    <tableColumn id="2" name="一级模块"/>
    <tableColumn id="3" name="二级功能/测试点"/>
    <tableColumn id="4" name="用例标题"/>
    <tableColumn id="5" name="前置条件"/>
    <tableColumn id="6" name="操作步骤"/>
    <tableColumn id="7" name="测试数据"/>
    <tableColumn id="8" name="预期结果"/>
    <tableColumn id="9" name="实际结果"/>
    <tableColumn id="10" name="优先级"/>
    <tableColumn id="11" name="严重程度"/>
    <tableColumn id="12" name="测试类型"/>
    <tableColumn id="13" name="执行状态"/>
    <tableColumn id="14" name="回归结果"/>
    <tableColumn id="15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"/>
  <sheetViews>
    <sheetView tabSelected="1" topLeftCell="G45" workbookViewId="0">
      <selection activeCell="J47" sqref="J47"/>
    </sheetView>
  </sheetViews>
  <sheetFormatPr defaultColWidth="9" defaultRowHeight="13.5"/>
  <cols>
    <col min="1" max="1" width="12" customWidth="1"/>
    <col min="2" max="2" width="14" customWidth="1"/>
    <col min="3" max="3" width="18" customWidth="1"/>
    <col min="4" max="5" width="24" customWidth="1"/>
    <col min="6" max="6" width="34" customWidth="1"/>
    <col min="7" max="7" width="28" customWidth="1"/>
    <col min="8" max="8" width="36" customWidth="1"/>
    <col min="9" max="9" width="18" customWidth="1"/>
    <col min="10" max="11" width="10" customWidth="1"/>
    <col min="12" max="12" width="15" customWidth="1"/>
    <col min="13" max="14" width="10" customWidth="1"/>
    <col min="15" max="15" width="20" customWidth="1"/>
  </cols>
  <sheetData>
    <row r="1" ht="30" customHeight="1" spans="1:1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24" customHeight="1" spans="1:1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ht="30" customHeight="1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ht="54" customHeight="1" spans="1:15">
      <c r="A5" s="7" t="s">
        <v>17</v>
      </c>
      <c r="B5" s="7" t="s">
        <v>18</v>
      </c>
      <c r="C5" s="7" t="s">
        <v>19</v>
      </c>
      <c r="D5" s="7" t="s">
        <v>20</v>
      </c>
      <c r="E5" s="7" t="s">
        <v>21</v>
      </c>
      <c r="F5" s="7" t="s">
        <v>22</v>
      </c>
      <c r="G5" s="7" t="s">
        <v>23</v>
      </c>
      <c r="H5" s="7" t="s">
        <v>24</v>
      </c>
      <c r="I5" s="7" t="s">
        <v>25</v>
      </c>
      <c r="J5" s="7" t="s">
        <v>26</v>
      </c>
      <c r="K5" s="7" t="s">
        <v>27</v>
      </c>
      <c r="L5" s="7" t="s">
        <v>28</v>
      </c>
      <c r="M5" s="7" t="s">
        <v>29</v>
      </c>
      <c r="N5" s="7" t="s">
        <v>29</v>
      </c>
      <c r="O5" s="7" t="s">
        <v>30</v>
      </c>
    </row>
    <row r="6" ht="54" customHeight="1" spans="1:15">
      <c r="A6" s="7" t="s">
        <v>31</v>
      </c>
      <c r="B6" s="7" t="s">
        <v>18</v>
      </c>
      <c r="C6" s="7" t="s">
        <v>32</v>
      </c>
      <c r="D6" s="7" t="s">
        <v>33</v>
      </c>
      <c r="E6" s="7" t="s">
        <v>34</v>
      </c>
      <c r="F6" s="7" t="s">
        <v>35</v>
      </c>
      <c r="G6" s="7" t="s">
        <v>36</v>
      </c>
      <c r="H6" s="7" t="s">
        <v>37</v>
      </c>
      <c r="I6" s="8" t="s">
        <v>38</v>
      </c>
      <c r="J6" s="7" t="s">
        <v>26</v>
      </c>
      <c r="K6" s="7" t="s">
        <v>27</v>
      </c>
      <c r="L6" s="7" t="s">
        <v>39</v>
      </c>
      <c r="M6" s="7" t="s">
        <v>40</v>
      </c>
      <c r="N6" s="7" t="s">
        <v>29</v>
      </c>
      <c r="O6" s="7" t="s">
        <v>41</v>
      </c>
    </row>
    <row r="7" ht="54" customHeight="1" spans="1:15">
      <c r="A7" s="7" t="s">
        <v>42</v>
      </c>
      <c r="B7" s="7" t="s">
        <v>18</v>
      </c>
      <c r="C7" s="7" t="s">
        <v>43</v>
      </c>
      <c r="D7" s="7" t="s">
        <v>44</v>
      </c>
      <c r="E7" s="7" t="s">
        <v>45</v>
      </c>
      <c r="F7" s="7" t="s">
        <v>46</v>
      </c>
      <c r="G7" s="7" t="s">
        <v>47</v>
      </c>
      <c r="H7" s="7" t="s">
        <v>48</v>
      </c>
      <c r="I7" s="8" t="s">
        <v>49</v>
      </c>
      <c r="J7" s="7" t="s">
        <v>26</v>
      </c>
      <c r="K7" s="7" t="s">
        <v>27</v>
      </c>
      <c r="L7" s="7" t="s">
        <v>39</v>
      </c>
      <c r="M7" s="7" t="s">
        <v>29</v>
      </c>
      <c r="N7" s="7" t="s">
        <v>29</v>
      </c>
      <c r="O7" s="7" t="s">
        <v>50</v>
      </c>
    </row>
    <row r="8" ht="54" customHeight="1" spans="1:15">
      <c r="A8" s="7" t="s">
        <v>51</v>
      </c>
      <c r="B8" s="7" t="s">
        <v>18</v>
      </c>
      <c r="C8" s="7" t="s">
        <v>52</v>
      </c>
      <c r="D8" s="7" t="s">
        <v>53</v>
      </c>
      <c r="E8" s="7" t="s">
        <v>45</v>
      </c>
      <c r="F8" s="7" t="s">
        <v>54</v>
      </c>
      <c r="G8" s="7" t="s">
        <v>55</v>
      </c>
      <c r="H8" s="7" t="s">
        <v>56</v>
      </c>
      <c r="I8" s="7" t="s">
        <v>25</v>
      </c>
      <c r="J8" s="7" t="s">
        <v>57</v>
      </c>
      <c r="K8" s="7" t="s">
        <v>58</v>
      </c>
      <c r="L8" s="7" t="s">
        <v>59</v>
      </c>
      <c r="M8" s="7" t="s">
        <v>40</v>
      </c>
      <c r="N8" s="7" t="s">
        <v>29</v>
      </c>
      <c r="O8" s="7" t="s">
        <v>60</v>
      </c>
    </row>
    <row r="9" ht="54" customHeight="1" spans="1:15">
      <c r="A9" s="7" t="s">
        <v>61</v>
      </c>
      <c r="B9" s="7" t="s">
        <v>18</v>
      </c>
      <c r="C9" s="7" t="s">
        <v>62</v>
      </c>
      <c r="D9" s="7" t="s">
        <v>63</v>
      </c>
      <c r="E9" s="7" t="s">
        <v>34</v>
      </c>
      <c r="F9" s="7" t="s">
        <v>64</v>
      </c>
      <c r="G9" s="7" t="s">
        <v>65</v>
      </c>
      <c r="H9" s="7" t="s">
        <v>66</v>
      </c>
      <c r="I9" s="7" t="s">
        <v>25</v>
      </c>
      <c r="J9" s="7" t="s">
        <v>26</v>
      </c>
      <c r="K9" s="7" t="s">
        <v>27</v>
      </c>
      <c r="L9" s="7" t="s">
        <v>39</v>
      </c>
      <c r="M9" s="7" t="s">
        <v>29</v>
      </c>
      <c r="N9" s="7" t="s">
        <v>29</v>
      </c>
      <c r="O9" s="7" t="s">
        <v>50</v>
      </c>
    </row>
    <row r="10" ht="54" customHeight="1" spans="1:15">
      <c r="A10" s="7" t="s">
        <v>67</v>
      </c>
      <c r="B10" s="7" t="s">
        <v>18</v>
      </c>
      <c r="C10" s="7" t="s">
        <v>68</v>
      </c>
      <c r="D10" s="7" t="s">
        <v>69</v>
      </c>
      <c r="E10" s="7" t="s">
        <v>70</v>
      </c>
      <c r="F10" s="7" t="s">
        <v>71</v>
      </c>
      <c r="G10" s="7" t="s">
        <v>72</v>
      </c>
      <c r="H10" s="7" t="s">
        <v>73</v>
      </c>
      <c r="I10" s="7" t="s">
        <v>25</v>
      </c>
      <c r="J10" s="7" t="s">
        <v>26</v>
      </c>
      <c r="K10" s="7" t="s">
        <v>27</v>
      </c>
      <c r="L10" s="7" t="s">
        <v>39</v>
      </c>
      <c r="M10" s="7" t="s">
        <v>29</v>
      </c>
      <c r="N10" s="7" t="s">
        <v>29</v>
      </c>
      <c r="O10" s="7" t="s">
        <v>50</v>
      </c>
    </row>
    <row r="11" ht="54" customHeight="1" spans="1:15">
      <c r="A11" s="7" t="s">
        <v>74</v>
      </c>
      <c r="B11" s="7" t="s">
        <v>75</v>
      </c>
      <c r="C11" s="7" t="s">
        <v>76</v>
      </c>
      <c r="D11" s="7" t="s">
        <v>77</v>
      </c>
      <c r="E11" s="7" t="s">
        <v>70</v>
      </c>
      <c r="F11" s="7" t="s">
        <v>78</v>
      </c>
      <c r="G11" s="7" t="s">
        <v>79</v>
      </c>
      <c r="H11" s="7" t="s">
        <v>80</v>
      </c>
      <c r="I11" s="8" t="s">
        <v>38</v>
      </c>
      <c r="J11" s="7" t="s">
        <v>26</v>
      </c>
      <c r="K11" s="7" t="s">
        <v>27</v>
      </c>
      <c r="L11" s="7" t="s">
        <v>81</v>
      </c>
      <c r="M11" s="7" t="s">
        <v>40</v>
      </c>
      <c r="N11" s="7" t="s">
        <v>29</v>
      </c>
      <c r="O11" s="7" t="s">
        <v>82</v>
      </c>
    </row>
    <row r="12" ht="54" customHeight="1" spans="1:15">
      <c r="A12" s="7" t="s">
        <v>83</v>
      </c>
      <c r="B12" s="7" t="s">
        <v>75</v>
      </c>
      <c r="C12" s="7" t="s">
        <v>84</v>
      </c>
      <c r="D12" s="7" t="s">
        <v>85</v>
      </c>
      <c r="E12" s="7" t="s">
        <v>70</v>
      </c>
      <c r="F12" s="7" t="s">
        <v>86</v>
      </c>
      <c r="G12" s="7" t="s">
        <v>79</v>
      </c>
      <c r="H12" s="7" t="s">
        <v>87</v>
      </c>
      <c r="I12" s="8" t="s">
        <v>88</v>
      </c>
      <c r="J12" s="7" t="s">
        <v>57</v>
      </c>
      <c r="K12" s="7" t="s">
        <v>58</v>
      </c>
      <c r="L12" s="7" t="s">
        <v>81</v>
      </c>
      <c r="M12" s="7" t="s">
        <v>40</v>
      </c>
      <c r="N12" s="7" t="s">
        <v>29</v>
      </c>
      <c r="O12" s="7" t="s">
        <v>89</v>
      </c>
    </row>
    <row r="13" ht="54" customHeight="1" spans="1:15">
      <c r="A13" s="7" t="s">
        <v>90</v>
      </c>
      <c r="B13" s="7" t="s">
        <v>91</v>
      </c>
      <c r="C13" s="7" t="s">
        <v>92</v>
      </c>
      <c r="D13" s="7" t="s">
        <v>93</v>
      </c>
      <c r="E13" s="7" t="s">
        <v>94</v>
      </c>
      <c r="F13" s="7" t="s">
        <v>95</v>
      </c>
      <c r="G13" s="7" t="s">
        <v>79</v>
      </c>
      <c r="H13" s="7" t="s">
        <v>96</v>
      </c>
      <c r="I13" s="8" t="s">
        <v>97</v>
      </c>
      <c r="J13" s="7" t="s">
        <v>26</v>
      </c>
      <c r="K13" s="7" t="s">
        <v>27</v>
      </c>
      <c r="L13" s="7" t="s">
        <v>39</v>
      </c>
      <c r="M13" s="7" t="s">
        <v>40</v>
      </c>
      <c r="N13" s="7" t="s">
        <v>29</v>
      </c>
      <c r="O13" s="7" t="s">
        <v>98</v>
      </c>
    </row>
    <row r="14" ht="54" customHeight="1" spans="1:15">
      <c r="A14" s="7" t="s">
        <v>99</v>
      </c>
      <c r="B14" s="7" t="s">
        <v>91</v>
      </c>
      <c r="C14" s="7" t="s">
        <v>92</v>
      </c>
      <c r="D14" s="7" t="s">
        <v>100</v>
      </c>
      <c r="E14" s="7" t="s">
        <v>94</v>
      </c>
      <c r="F14" s="7" t="s">
        <v>101</v>
      </c>
      <c r="G14" s="7" t="s">
        <v>79</v>
      </c>
      <c r="H14" s="7" t="s">
        <v>102</v>
      </c>
      <c r="I14" s="7" t="s">
        <v>25</v>
      </c>
      <c r="J14" s="7" t="s">
        <v>26</v>
      </c>
      <c r="K14" s="7" t="s">
        <v>27</v>
      </c>
      <c r="L14" s="7" t="s">
        <v>39</v>
      </c>
      <c r="M14" s="7" t="s">
        <v>29</v>
      </c>
      <c r="N14" s="7" t="s">
        <v>29</v>
      </c>
      <c r="O14" s="7" t="s">
        <v>50</v>
      </c>
    </row>
    <row r="15" ht="54" customHeight="1" spans="1:15">
      <c r="A15" s="7" t="s">
        <v>103</v>
      </c>
      <c r="B15" s="7" t="s">
        <v>91</v>
      </c>
      <c r="C15" s="7" t="s">
        <v>104</v>
      </c>
      <c r="D15" s="7" t="s">
        <v>105</v>
      </c>
      <c r="E15" s="7" t="s">
        <v>106</v>
      </c>
      <c r="F15" s="7" t="s">
        <v>107</v>
      </c>
      <c r="G15" s="7" t="s">
        <v>79</v>
      </c>
      <c r="H15" s="7" t="s">
        <v>108</v>
      </c>
      <c r="I15" s="7" t="s">
        <v>25</v>
      </c>
      <c r="J15" s="7" t="s">
        <v>26</v>
      </c>
      <c r="K15" s="7" t="s">
        <v>27</v>
      </c>
      <c r="L15" s="7" t="s">
        <v>81</v>
      </c>
      <c r="M15" s="7" t="s">
        <v>29</v>
      </c>
      <c r="N15" s="7" t="s">
        <v>29</v>
      </c>
      <c r="O15" s="7" t="s">
        <v>50</v>
      </c>
    </row>
    <row r="16" ht="54" customHeight="1" spans="1:15">
      <c r="A16" s="7" t="s">
        <v>109</v>
      </c>
      <c r="B16" s="7" t="s">
        <v>91</v>
      </c>
      <c r="C16" s="7" t="s">
        <v>110</v>
      </c>
      <c r="D16" s="7" t="s">
        <v>111</v>
      </c>
      <c r="E16" s="7" t="s">
        <v>106</v>
      </c>
      <c r="F16" s="7" t="s">
        <v>112</v>
      </c>
      <c r="G16" s="7" t="s">
        <v>113</v>
      </c>
      <c r="H16" s="7" t="s">
        <v>114</v>
      </c>
      <c r="I16" s="7" t="s">
        <v>25</v>
      </c>
      <c r="J16" s="7" t="s">
        <v>26</v>
      </c>
      <c r="K16" s="7" t="s">
        <v>27</v>
      </c>
      <c r="L16" s="7" t="s">
        <v>115</v>
      </c>
      <c r="M16" s="7" t="s">
        <v>29</v>
      </c>
      <c r="N16" s="7" t="s">
        <v>29</v>
      </c>
      <c r="O16" s="7" t="s">
        <v>116</v>
      </c>
    </row>
    <row r="17" ht="54" customHeight="1" spans="1:15">
      <c r="A17" s="7" t="s">
        <v>117</v>
      </c>
      <c r="B17" s="7" t="s">
        <v>118</v>
      </c>
      <c r="C17" s="7" t="s">
        <v>119</v>
      </c>
      <c r="D17" s="7" t="s">
        <v>120</v>
      </c>
      <c r="E17" s="7" t="s">
        <v>121</v>
      </c>
      <c r="F17" s="7" t="s">
        <v>122</v>
      </c>
      <c r="G17" s="7" t="s">
        <v>123</v>
      </c>
      <c r="H17" s="7" t="s">
        <v>124</v>
      </c>
      <c r="I17" s="8" t="s">
        <v>125</v>
      </c>
      <c r="J17" s="7" t="s">
        <v>26</v>
      </c>
      <c r="K17" s="7" t="s">
        <v>27</v>
      </c>
      <c r="L17" s="7" t="s">
        <v>126</v>
      </c>
      <c r="M17" s="7" t="s">
        <v>40</v>
      </c>
      <c r="N17" s="7" t="s">
        <v>29</v>
      </c>
      <c r="O17" s="7" t="s">
        <v>127</v>
      </c>
    </row>
    <row r="18" ht="54" customHeight="1" spans="1:15">
      <c r="A18" s="7" t="s">
        <v>128</v>
      </c>
      <c r="B18" s="7" t="s">
        <v>118</v>
      </c>
      <c r="C18" s="7" t="s">
        <v>129</v>
      </c>
      <c r="D18" s="7" t="s">
        <v>130</v>
      </c>
      <c r="E18" s="7" t="s">
        <v>131</v>
      </c>
      <c r="F18" s="7" t="s">
        <v>122</v>
      </c>
      <c r="G18" s="7" t="s">
        <v>132</v>
      </c>
      <c r="H18" s="7" t="s">
        <v>133</v>
      </c>
      <c r="I18" s="7" t="s">
        <v>25</v>
      </c>
      <c r="J18" s="7" t="s">
        <v>57</v>
      </c>
      <c r="K18" s="7" t="s">
        <v>58</v>
      </c>
      <c r="L18" s="7" t="s">
        <v>134</v>
      </c>
      <c r="M18" s="7" t="s">
        <v>29</v>
      </c>
      <c r="N18" s="7" t="s">
        <v>29</v>
      </c>
      <c r="O18" s="7" t="s">
        <v>50</v>
      </c>
    </row>
    <row r="19" ht="54" customHeight="1" spans="1:15">
      <c r="A19" s="7" t="s">
        <v>135</v>
      </c>
      <c r="B19" s="7" t="s">
        <v>91</v>
      </c>
      <c r="C19" s="7" t="s">
        <v>136</v>
      </c>
      <c r="D19" s="7" t="s">
        <v>137</v>
      </c>
      <c r="E19" s="7" t="s">
        <v>138</v>
      </c>
      <c r="F19" s="7" t="s">
        <v>139</v>
      </c>
      <c r="G19" s="7" t="s">
        <v>140</v>
      </c>
      <c r="H19" s="7" t="s">
        <v>141</v>
      </c>
      <c r="I19" s="8" t="s">
        <v>142</v>
      </c>
      <c r="J19" s="7" t="s">
        <v>26</v>
      </c>
      <c r="K19" s="7" t="s">
        <v>27</v>
      </c>
      <c r="L19" s="7" t="s">
        <v>126</v>
      </c>
      <c r="M19" s="7" t="s">
        <v>40</v>
      </c>
      <c r="N19" s="7" t="s">
        <v>29</v>
      </c>
      <c r="O19" s="7" t="s">
        <v>143</v>
      </c>
    </row>
    <row r="20" ht="54" customHeight="1" spans="1:15">
      <c r="A20" s="7" t="s">
        <v>144</v>
      </c>
      <c r="B20" s="7" t="s">
        <v>91</v>
      </c>
      <c r="C20" s="7" t="s">
        <v>145</v>
      </c>
      <c r="D20" s="7" t="s">
        <v>146</v>
      </c>
      <c r="E20" s="7" t="s">
        <v>147</v>
      </c>
      <c r="F20" s="7" t="s">
        <v>148</v>
      </c>
      <c r="G20" s="7" t="s">
        <v>149</v>
      </c>
      <c r="H20" s="7" t="s">
        <v>150</v>
      </c>
      <c r="I20" s="7" t="s">
        <v>25</v>
      </c>
      <c r="J20" s="7" t="s">
        <v>57</v>
      </c>
      <c r="K20" s="7" t="s">
        <v>58</v>
      </c>
      <c r="L20" s="7" t="s">
        <v>59</v>
      </c>
      <c r="M20" s="7" t="s">
        <v>29</v>
      </c>
      <c r="N20" s="7" t="s">
        <v>29</v>
      </c>
      <c r="O20" s="7" t="s">
        <v>50</v>
      </c>
    </row>
    <row r="21" ht="54" customHeight="1" spans="1:15">
      <c r="A21" s="7" t="s">
        <v>151</v>
      </c>
      <c r="B21" s="7" t="s">
        <v>152</v>
      </c>
      <c r="C21" s="7" t="s">
        <v>153</v>
      </c>
      <c r="D21" s="7" t="s">
        <v>154</v>
      </c>
      <c r="E21" s="7" t="s">
        <v>155</v>
      </c>
      <c r="F21" s="7" t="s">
        <v>156</v>
      </c>
      <c r="G21" s="7" t="s">
        <v>79</v>
      </c>
      <c r="H21" s="7" t="s">
        <v>157</v>
      </c>
      <c r="I21" s="7" t="s">
        <v>25</v>
      </c>
      <c r="J21" s="7" t="s">
        <v>26</v>
      </c>
      <c r="K21" s="7" t="s">
        <v>27</v>
      </c>
      <c r="L21" s="7" t="s">
        <v>81</v>
      </c>
      <c r="M21" s="7" t="s">
        <v>29</v>
      </c>
      <c r="N21" s="7" t="s">
        <v>29</v>
      </c>
      <c r="O21" s="7" t="s">
        <v>50</v>
      </c>
    </row>
    <row r="22" ht="54" customHeight="1" spans="1:15">
      <c r="A22" s="7" t="s">
        <v>158</v>
      </c>
      <c r="B22" s="7" t="s">
        <v>152</v>
      </c>
      <c r="C22" s="7" t="s">
        <v>159</v>
      </c>
      <c r="D22" s="7" t="s">
        <v>160</v>
      </c>
      <c r="E22" s="7" t="s">
        <v>161</v>
      </c>
      <c r="F22" s="7" t="s">
        <v>162</v>
      </c>
      <c r="G22" s="7" t="s">
        <v>79</v>
      </c>
      <c r="H22" s="7" t="s">
        <v>163</v>
      </c>
      <c r="I22" s="7" t="s">
        <v>25</v>
      </c>
      <c r="J22" s="7" t="s">
        <v>164</v>
      </c>
      <c r="K22" s="7" t="s">
        <v>165</v>
      </c>
      <c r="L22" s="7" t="s">
        <v>166</v>
      </c>
      <c r="M22" s="7" t="s">
        <v>29</v>
      </c>
      <c r="N22" s="7" t="s">
        <v>29</v>
      </c>
      <c r="O22" s="7" t="s">
        <v>50</v>
      </c>
    </row>
    <row r="23" ht="54" customHeight="1" spans="1:15">
      <c r="A23" s="7" t="s">
        <v>167</v>
      </c>
      <c r="B23" s="7" t="s">
        <v>152</v>
      </c>
      <c r="C23" s="7" t="s">
        <v>168</v>
      </c>
      <c r="D23" s="7" t="s">
        <v>169</v>
      </c>
      <c r="E23" s="7" t="s">
        <v>170</v>
      </c>
      <c r="F23" s="7" t="s">
        <v>171</v>
      </c>
      <c r="G23" s="7" t="s">
        <v>172</v>
      </c>
      <c r="H23" s="7" t="s">
        <v>173</v>
      </c>
      <c r="I23" s="8" t="s">
        <v>174</v>
      </c>
      <c r="J23" s="7" t="s">
        <v>26</v>
      </c>
      <c r="K23" s="7" t="s">
        <v>27</v>
      </c>
      <c r="L23" s="7" t="s">
        <v>175</v>
      </c>
      <c r="M23" s="7" t="s">
        <v>40</v>
      </c>
      <c r="N23" s="7" t="s">
        <v>29</v>
      </c>
      <c r="O23" s="7" t="s">
        <v>176</v>
      </c>
    </row>
    <row r="24" ht="54" customHeight="1" spans="1:15">
      <c r="A24" s="7" t="s">
        <v>177</v>
      </c>
      <c r="B24" s="7" t="s">
        <v>152</v>
      </c>
      <c r="C24" s="7" t="s">
        <v>178</v>
      </c>
      <c r="D24" s="7" t="s">
        <v>179</v>
      </c>
      <c r="E24" s="7" t="s">
        <v>170</v>
      </c>
      <c r="F24" s="7" t="s">
        <v>180</v>
      </c>
      <c r="G24" s="7" t="s">
        <v>181</v>
      </c>
      <c r="H24" s="7" t="s">
        <v>182</v>
      </c>
      <c r="I24" s="8" t="s">
        <v>183</v>
      </c>
      <c r="J24" s="7" t="s">
        <v>26</v>
      </c>
      <c r="K24" s="7" t="s">
        <v>27</v>
      </c>
      <c r="L24" s="7" t="s">
        <v>175</v>
      </c>
      <c r="M24" s="7" t="s">
        <v>40</v>
      </c>
      <c r="N24" s="7" t="s">
        <v>29</v>
      </c>
      <c r="O24" s="7" t="s">
        <v>184</v>
      </c>
    </row>
    <row r="25" ht="54" customHeight="1" spans="1:15">
      <c r="A25" s="7" t="s">
        <v>185</v>
      </c>
      <c r="B25" s="7" t="s">
        <v>152</v>
      </c>
      <c r="C25" s="7" t="s">
        <v>186</v>
      </c>
      <c r="D25" s="7" t="s">
        <v>187</v>
      </c>
      <c r="E25" s="7" t="s">
        <v>170</v>
      </c>
      <c r="F25" s="7" t="s">
        <v>188</v>
      </c>
      <c r="G25" s="7" t="s">
        <v>189</v>
      </c>
      <c r="H25" s="7" t="s">
        <v>190</v>
      </c>
      <c r="I25" s="7" t="s">
        <v>25</v>
      </c>
      <c r="J25" s="7" t="s">
        <v>57</v>
      </c>
      <c r="K25" s="7" t="s">
        <v>58</v>
      </c>
      <c r="L25" s="7" t="s">
        <v>39</v>
      </c>
      <c r="M25" s="7" t="s">
        <v>29</v>
      </c>
      <c r="N25" s="7" t="s">
        <v>29</v>
      </c>
      <c r="O25" s="7" t="s">
        <v>50</v>
      </c>
    </row>
    <row r="26" ht="54" customHeight="1" spans="1:15">
      <c r="A26" s="7" t="s">
        <v>191</v>
      </c>
      <c r="B26" s="7" t="s">
        <v>152</v>
      </c>
      <c r="C26" s="7" t="s">
        <v>192</v>
      </c>
      <c r="D26" s="7" t="s">
        <v>193</v>
      </c>
      <c r="E26" s="7" t="s">
        <v>194</v>
      </c>
      <c r="F26" s="7" t="s">
        <v>195</v>
      </c>
      <c r="G26" s="7" t="s">
        <v>196</v>
      </c>
      <c r="H26" s="7" t="s">
        <v>197</v>
      </c>
      <c r="I26" s="7" t="s">
        <v>25</v>
      </c>
      <c r="J26" s="7" t="s">
        <v>26</v>
      </c>
      <c r="K26" s="7" t="s">
        <v>27</v>
      </c>
      <c r="L26" s="7" t="s">
        <v>126</v>
      </c>
      <c r="M26" s="7" t="s">
        <v>29</v>
      </c>
      <c r="N26" s="7" t="s">
        <v>29</v>
      </c>
      <c r="O26" s="7" t="s">
        <v>50</v>
      </c>
    </row>
    <row r="27" ht="54" customHeight="1" spans="1:15">
      <c r="A27" s="7" t="s">
        <v>198</v>
      </c>
      <c r="B27" s="7" t="s">
        <v>152</v>
      </c>
      <c r="C27" s="7" t="s">
        <v>199</v>
      </c>
      <c r="D27" s="7" t="s">
        <v>200</v>
      </c>
      <c r="E27" s="7" t="s">
        <v>201</v>
      </c>
      <c r="F27" s="7" t="s">
        <v>202</v>
      </c>
      <c r="G27" s="7" t="s">
        <v>203</v>
      </c>
      <c r="H27" s="7" t="s">
        <v>204</v>
      </c>
      <c r="I27" s="7" t="s">
        <v>25</v>
      </c>
      <c r="J27" s="7" t="s">
        <v>57</v>
      </c>
      <c r="K27" s="7" t="s">
        <v>58</v>
      </c>
      <c r="L27" s="7" t="s">
        <v>205</v>
      </c>
      <c r="M27" s="7" t="s">
        <v>29</v>
      </c>
      <c r="N27" s="7" t="s">
        <v>29</v>
      </c>
      <c r="O27" s="7" t="s">
        <v>50</v>
      </c>
    </row>
    <row r="28" ht="54" customHeight="1" spans="1:15">
      <c r="A28" s="7" t="s">
        <v>206</v>
      </c>
      <c r="B28" s="7" t="s">
        <v>152</v>
      </c>
      <c r="C28" s="7" t="s">
        <v>207</v>
      </c>
      <c r="D28" s="7" t="s">
        <v>208</v>
      </c>
      <c r="E28" s="7" t="s">
        <v>209</v>
      </c>
      <c r="F28" s="7" t="s">
        <v>210</v>
      </c>
      <c r="G28" s="7" t="s">
        <v>211</v>
      </c>
      <c r="H28" s="7" t="s">
        <v>212</v>
      </c>
      <c r="I28" s="8" t="s">
        <v>213</v>
      </c>
      <c r="J28" s="7" t="s">
        <v>26</v>
      </c>
      <c r="K28" s="7" t="s">
        <v>27</v>
      </c>
      <c r="L28" s="7" t="s">
        <v>126</v>
      </c>
      <c r="M28" s="7" t="s">
        <v>29</v>
      </c>
      <c r="N28" s="7" t="s">
        <v>29</v>
      </c>
      <c r="O28" s="7" t="s">
        <v>214</v>
      </c>
    </row>
    <row r="29" ht="54" customHeight="1" spans="1:15">
      <c r="A29" s="7" t="s">
        <v>215</v>
      </c>
      <c r="B29" s="7" t="s">
        <v>216</v>
      </c>
      <c r="C29" s="7" t="s">
        <v>217</v>
      </c>
      <c r="D29" s="7" t="s">
        <v>218</v>
      </c>
      <c r="E29" s="7" t="s">
        <v>219</v>
      </c>
      <c r="F29" s="7" t="s">
        <v>220</v>
      </c>
      <c r="G29" s="7" t="s">
        <v>221</v>
      </c>
      <c r="H29" s="7" t="s">
        <v>222</v>
      </c>
      <c r="I29" s="7" t="s">
        <v>25</v>
      </c>
      <c r="J29" s="7" t="s">
        <v>26</v>
      </c>
      <c r="K29" s="7" t="s">
        <v>27</v>
      </c>
      <c r="L29" s="7" t="s">
        <v>223</v>
      </c>
      <c r="M29" s="7" t="s">
        <v>29</v>
      </c>
      <c r="N29" s="7" t="s">
        <v>29</v>
      </c>
      <c r="O29" s="7" t="s">
        <v>50</v>
      </c>
    </row>
    <row r="30" ht="54" customHeight="1" spans="1:15">
      <c r="A30" s="7" t="s">
        <v>224</v>
      </c>
      <c r="B30" s="7" t="s">
        <v>216</v>
      </c>
      <c r="C30" s="7" t="s">
        <v>225</v>
      </c>
      <c r="D30" s="7" t="s">
        <v>226</v>
      </c>
      <c r="E30" s="7" t="s">
        <v>227</v>
      </c>
      <c r="F30" s="7" t="s">
        <v>228</v>
      </c>
      <c r="G30" s="7" t="s">
        <v>229</v>
      </c>
      <c r="H30" s="7" t="s">
        <v>230</v>
      </c>
      <c r="I30" s="8" t="s">
        <v>231</v>
      </c>
      <c r="J30" s="7" t="s">
        <v>57</v>
      </c>
      <c r="K30" s="7" t="s">
        <v>58</v>
      </c>
      <c r="L30" s="7" t="s">
        <v>232</v>
      </c>
      <c r="M30" s="7" t="s">
        <v>40</v>
      </c>
      <c r="N30" s="7" t="s">
        <v>29</v>
      </c>
      <c r="O30" s="7" t="s">
        <v>233</v>
      </c>
    </row>
    <row r="31" ht="54" customHeight="1" spans="1:15">
      <c r="A31" s="7" t="s">
        <v>234</v>
      </c>
      <c r="B31" s="7" t="s">
        <v>216</v>
      </c>
      <c r="C31" s="7" t="s">
        <v>235</v>
      </c>
      <c r="D31" s="7" t="s">
        <v>236</v>
      </c>
      <c r="E31" s="7" t="s">
        <v>237</v>
      </c>
      <c r="F31" s="7" t="s">
        <v>238</v>
      </c>
      <c r="G31" s="7" t="s">
        <v>239</v>
      </c>
      <c r="H31" s="7" t="s">
        <v>240</v>
      </c>
      <c r="I31" s="7" t="s">
        <v>25</v>
      </c>
      <c r="J31" s="7" t="s">
        <v>26</v>
      </c>
      <c r="K31" s="7" t="s">
        <v>27</v>
      </c>
      <c r="L31" s="7" t="s">
        <v>205</v>
      </c>
      <c r="M31" s="7" t="s">
        <v>29</v>
      </c>
      <c r="N31" s="7" t="s">
        <v>29</v>
      </c>
      <c r="O31" s="7" t="s">
        <v>50</v>
      </c>
    </row>
    <row r="32" ht="54" customHeight="1" spans="1:15">
      <c r="A32" s="7" t="s">
        <v>241</v>
      </c>
      <c r="B32" s="7" t="s">
        <v>242</v>
      </c>
      <c r="C32" s="7" t="s">
        <v>243</v>
      </c>
      <c r="D32" s="7" t="s">
        <v>244</v>
      </c>
      <c r="E32" s="7" t="s">
        <v>161</v>
      </c>
      <c r="F32" s="7" t="s">
        <v>245</v>
      </c>
      <c r="G32" s="7" t="s">
        <v>79</v>
      </c>
      <c r="H32" s="7" t="s">
        <v>246</v>
      </c>
      <c r="I32" s="7" t="s">
        <v>25</v>
      </c>
      <c r="J32" s="7" t="s">
        <v>57</v>
      </c>
      <c r="K32" s="7" t="s">
        <v>58</v>
      </c>
      <c r="L32" s="7" t="s">
        <v>81</v>
      </c>
      <c r="M32" s="7" t="s">
        <v>29</v>
      </c>
      <c r="N32" s="7" t="s">
        <v>29</v>
      </c>
      <c r="O32" s="7" t="s">
        <v>50</v>
      </c>
    </row>
    <row r="33" ht="54" customHeight="1" spans="1:15">
      <c r="A33" s="7" t="s">
        <v>247</v>
      </c>
      <c r="B33" s="7" t="s">
        <v>242</v>
      </c>
      <c r="C33" s="7" t="s">
        <v>248</v>
      </c>
      <c r="D33" s="7" t="s">
        <v>249</v>
      </c>
      <c r="E33" s="7" t="s">
        <v>250</v>
      </c>
      <c r="F33" s="7" t="s">
        <v>251</v>
      </c>
      <c r="G33" s="7" t="s">
        <v>252</v>
      </c>
      <c r="H33" s="8" t="s">
        <v>253</v>
      </c>
      <c r="I33" s="7" t="s">
        <v>26</v>
      </c>
      <c r="J33" s="7" t="s">
        <v>27</v>
      </c>
      <c r="K33" s="7" t="s">
        <v>39</v>
      </c>
      <c r="L33" s="7" t="s">
        <v>29</v>
      </c>
      <c r="M33" s="7" t="s">
        <v>40</v>
      </c>
      <c r="N33" s="7" t="s">
        <v>50</v>
      </c>
      <c r="O33" s="7" t="s">
        <v>254</v>
      </c>
    </row>
    <row r="34" ht="54" customHeight="1" spans="1:15">
      <c r="A34" s="7" t="s">
        <v>255</v>
      </c>
      <c r="B34" s="7" t="s">
        <v>242</v>
      </c>
      <c r="C34" s="7" t="s">
        <v>256</v>
      </c>
      <c r="D34" s="7" t="s">
        <v>257</v>
      </c>
      <c r="E34" s="7" t="s">
        <v>258</v>
      </c>
      <c r="F34" s="7" t="s">
        <v>259</v>
      </c>
      <c r="G34" s="7" t="s">
        <v>260</v>
      </c>
      <c r="H34" s="7" t="s">
        <v>261</v>
      </c>
      <c r="I34" s="7" t="s">
        <v>25</v>
      </c>
      <c r="J34" s="7" t="s">
        <v>57</v>
      </c>
      <c r="K34" s="7" t="s">
        <v>58</v>
      </c>
      <c r="L34" s="7" t="s">
        <v>59</v>
      </c>
      <c r="M34" s="7" t="s">
        <v>29</v>
      </c>
      <c r="N34" s="7" t="s">
        <v>29</v>
      </c>
      <c r="O34" s="7" t="s">
        <v>50</v>
      </c>
    </row>
    <row r="35" ht="54" customHeight="1" spans="1:15">
      <c r="A35" s="7" t="s">
        <v>262</v>
      </c>
      <c r="B35" s="7" t="s">
        <v>242</v>
      </c>
      <c r="C35" s="7" t="s">
        <v>263</v>
      </c>
      <c r="D35" s="7" t="s">
        <v>264</v>
      </c>
      <c r="E35" s="7" t="s">
        <v>265</v>
      </c>
      <c r="F35" s="7" t="s">
        <v>266</v>
      </c>
      <c r="G35" s="7" t="s">
        <v>267</v>
      </c>
      <c r="H35" s="8" t="s">
        <v>268</v>
      </c>
      <c r="I35" s="7" t="s">
        <v>57</v>
      </c>
      <c r="J35" s="7" t="s">
        <v>58</v>
      </c>
      <c r="K35" s="7" t="s">
        <v>223</v>
      </c>
      <c r="L35" s="7" t="s">
        <v>29</v>
      </c>
      <c r="M35" s="7" t="s">
        <v>40</v>
      </c>
      <c r="N35" s="7" t="s">
        <v>50</v>
      </c>
      <c r="O35" s="7" t="s">
        <v>269</v>
      </c>
    </row>
    <row r="36" ht="54" customHeight="1" spans="1:15">
      <c r="A36" s="7" t="s">
        <v>270</v>
      </c>
      <c r="B36" s="7" t="s">
        <v>271</v>
      </c>
      <c r="C36" s="7" t="s">
        <v>272</v>
      </c>
      <c r="D36" s="7" t="s">
        <v>70</v>
      </c>
      <c r="E36" s="7" t="s">
        <v>273</v>
      </c>
      <c r="F36" s="7" t="s">
        <v>79</v>
      </c>
      <c r="G36" s="7" t="s">
        <v>274</v>
      </c>
      <c r="H36" s="7" t="s">
        <v>25</v>
      </c>
      <c r="I36" s="7" t="s">
        <v>57</v>
      </c>
      <c r="J36" s="7" t="s">
        <v>58</v>
      </c>
      <c r="K36" s="7" t="s">
        <v>75</v>
      </c>
      <c r="L36" s="7" t="s">
        <v>29</v>
      </c>
      <c r="M36" s="7" t="s">
        <v>29</v>
      </c>
      <c r="N36" s="7" t="s">
        <v>50</v>
      </c>
      <c r="O36" s="7"/>
    </row>
    <row r="37" ht="54" customHeight="1" spans="1:15">
      <c r="A37" s="7" t="s">
        <v>275</v>
      </c>
      <c r="B37" s="7" t="s">
        <v>271</v>
      </c>
      <c r="C37" s="7" t="s">
        <v>276</v>
      </c>
      <c r="D37" s="7" t="s">
        <v>272</v>
      </c>
      <c r="E37" s="7" t="s">
        <v>277</v>
      </c>
      <c r="F37" s="7" t="s">
        <v>278</v>
      </c>
      <c r="G37" s="7" t="s">
        <v>279</v>
      </c>
      <c r="H37" s="8" t="s">
        <v>280</v>
      </c>
      <c r="I37" s="7" t="s">
        <v>26</v>
      </c>
      <c r="J37" s="7" t="s">
        <v>27</v>
      </c>
      <c r="K37" s="7" t="s">
        <v>126</v>
      </c>
      <c r="L37" s="7" t="s">
        <v>29</v>
      </c>
      <c r="M37" s="7" t="s">
        <v>40</v>
      </c>
      <c r="N37" s="7" t="s">
        <v>50</v>
      </c>
      <c r="O37" s="7" t="s">
        <v>281</v>
      </c>
    </row>
    <row r="38" ht="54" customHeight="1" spans="1:15">
      <c r="A38" s="7" t="s">
        <v>282</v>
      </c>
      <c r="B38" s="7" t="s">
        <v>271</v>
      </c>
      <c r="C38" s="7" t="s">
        <v>283</v>
      </c>
      <c r="D38" s="7" t="s">
        <v>284</v>
      </c>
      <c r="E38" s="7" t="s">
        <v>285</v>
      </c>
      <c r="F38" s="7" t="s">
        <v>286</v>
      </c>
      <c r="G38" s="7" t="s">
        <v>287</v>
      </c>
      <c r="H38" s="7" t="s">
        <v>25</v>
      </c>
      <c r="I38" s="7" t="s">
        <v>57</v>
      </c>
      <c r="J38" s="7" t="s">
        <v>58</v>
      </c>
      <c r="K38" s="7" t="s">
        <v>39</v>
      </c>
      <c r="L38" s="7" t="s">
        <v>29</v>
      </c>
      <c r="M38" s="7" t="s">
        <v>29</v>
      </c>
      <c r="N38" s="7" t="s">
        <v>50</v>
      </c>
      <c r="O38" s="7"/>
    </row>
    <row r="39" ht="54" customHeight="1" spans="1:15">
      <c r="A39" s="7" t="s">
        <v>288</v>
      </c>
      <c r="B39" s="7" t="s">
        <v>289</v>
      </c>
      <c r="C39" s="7" t="s">
        <v>290</v>
      </c>
      <c r="D39" s="7" t="s">
        <v>291</v>
      </c>
      <c r="E39" s="7" t="s">
        <v>292</v>
      </c>
      <c r="F39" s="7" t="s">
        <v>293</v>
      </c>
      <c r="G39" s="7" t="s">
        <v>294</v>
      </c>
      <c r="H39" s="7" t="s">
        <v>25</v>
      </c>
      <c r="I39" s="7" t="s">
        <v>57</v>
      </c>
      <c r="J39" s="7" t="s">
        <v>58</v>
      </c>
      <c r="K39" s="7" t="s">
        <v>39</v>
      </c>
      <c r="L39" s="7" t="s">
        <v>29</v>
      </c>
      <c r="M39" s="7" t="s">
        <v>29</v>
      </c>
      <c r="N39" s="7" t="s">
        <v>50</v>
      </c>
      <c r="O39" s="7"/>
    </row>
    <row r="40" ht="54" customHeight="1" spans="1:15">
      <c r="A40" s="7" t="s">
        <v>295</v>
      </c>
      <c r="B40" s="7" t="s">
        <v>289</v>
      </c>
      <c r="C40" s="7" t="s">
        <v>296</v>
      </c>
      <c r="D40" s="7" t="s">
        <v>297</v>
      </c>
      <c r="E40" s="7" t="s">
        <v>298</v>
      </c>
      <c r="F40" s="7" t="s">
        <v>299</v>
      </c>
      <c r="G40" s="7" t="s">
        <v>300</v>
      </c>
      <c r="H40" s="8" t="s">
        <v>301</v>
      </c>
      <c r="I40" s="7" t="s">
        <v>57</v>
      </c>
      <c r="J40" s="7" t="s">
        <v>58</v>
      </c>
      <c r="K40" s="7" t="s">
        <v>39</v>
      </c>
      <c r="L40" s="7" t="s">
        <v>29</v>
      </c>
      <c r="M40" s="7" t="s">
        <v>40</v>
      </c>
      <c r="N40" s="7" t="s">
        <v>50</v>
      </c>
      <c r="O40" s="7" t="s">
        <v>302</v>
      </c>
    </row>
    <row r="41" ht="54" customHeight="1" spans="1:15">
      <c r="A41" s="7" t="s">
        <v>303</v>
      </c>
      <c r="B41" s="7" t="s">
        <v>304</v>
      </c>
      <c r="C41" s="7" t="s">
        <v>305</v>
      </c>
      <c r="D41" s="7" t="s">
        <v>306</v>
      </c>
      <c r="E41" s="7" t="s">
        <v>307</v>
      </c>
      <c r="F41" s="7" t="s">
        <v>308</v>
      </c>
      <c r="G41" s="7" t="s">
        <v>309</v>
      </c>
      <c r="H41" s="8" t="s">
        <v>310</v>
      </c>
      <c r="I41" s="7" t="s">
        <v>26</v>
      </c>
      <c r="J41" s="7" t="s">
        <v>27</v>
      </c>
      <c r="K41" s="7" t="s">
        <v>311</v>
      </c>
      <c r="L41" s="7" t="s">
        <v>29</v>
      </c>
      <c r="M41" s="7" t="s">
        <v>40</v>
      </c>
      <c r="N41" s="7"/>
      <c r="O41" s="7" t="s">
        <v>312</v>
      </c>
    </row>
    <row r="42" ht="54" customHeight="1" spans="1:15">
      <c r="A42" s="7" t="s">
        <v>313</v>
      </c>
      <c r="B42" s="7" t="s">
        <v>304</v>
      </c>
      <c r="C42" s="7" t="s">
        <v>314</v>
      </c>
      <c r="D42" s="7" t="s">
        <v>306</v>
      </c>
      <c r="E42" s="7" t="s">
        <v>315</v>
      </c>
      <c r="F42" s="7" t="s">
        <v>308</v>
      </c>
      <c r="G42" s="7" t="s">
        <v>316</v>
      </c>
      <c r="H42" s="8" t="s">
        <v>317</v>
      </c>
      <c r="I42" s="7" t="s">
        <v>26</v>
      </c>
      <c r="J42" s="7" t="s">
        <v>27</v>
      </c>
      <c r="K42" s="7" t="s">
        <v>311</v>
      </c>
      <c r="L42" s="7" t="s">
        <v>29</v>
      </c>
      <c r="M42" s="7" t="s">
        <v>40</v>
      </c>
      <c r="N42" s="7" t="s">
        <v>50</v>
      </c>
      <c r="O42" s="7" t="s">
        <v>318</v>
      </c>
    </row>
    <row r="43" ht="54" customHeight="1" spans="1:15">
      <c r="A43" s="7" t="s">
        <v>319</v>
      </c>
      <c r="B43" s="7" t="s">
        <v>320</v>
      </c>
      <c r="C43" s="7" t="s">
        <v>321</v>
      </c>
      <c r="D43" s="7" t="s">
        <v>70</v>
      </c>
      <c r="E43" s="7" t="s">
        <v>322</v>
      </c>
      <c r="F43" s="7" t="s">
        <v>79</v>
      </c>
      <c r="G43" s="7" t="s">
        <v>323</v>
      </c>
      <c r="H43" s="7" t="s">
        <v>25</v>
      </c>
      <c r="I43" s="7" t="s">
        <v>164</v>
      </c>
      <c r="J43" s="7" t="s">
        <v>165</v>
      </c>
      <c r="K43" s="7" t="s">
        <v>324</v>
      </c>
      <c r="L43" s="7" t="s">
        <v>29</v>
      </c>
      <c r="M43" s="7" t="s">
        <v>29</v>
      </c>
      <c r="N43" s="7" t="s">
        <v>50</v>
      </c>
      <c r="O43" s="7"/>
    </row>
    <row r="44" ht="54" customHeight="1" spans="1:15">
      <c r="A44" s="7" t="s">
        <v>325</v>
      </c>
      <c r="B44" s="7" t="s">
        <v>320</v>
      </c>
      <c r="C44" s="7" t="s">
        <v>326</v>
      </c>
      <c r="D44" s="7" t="s">
        <v>327</v>
      </c>
      <c r="E44" s="7" t="s">
        <v>328</v>
      </c>
      <c r="F44" s="7" t="s">
        <v>79</v>
      </c>
      <c r="G44" s="7" t="s">
        <v>329</v>
      </c>
      <c r="H44" s="7" t="s">
        <v>25</v>
      </c>
      <c r="I44" s="7" t="s">
        <v>164</v>
      </c>
      <c r="J44" s="7" t="s">
        <v>165</v>
      </c>
      <c r="K44" s="7" t="s">
        <v>115</v>
      </c>
      <c r="L44" s="7" t="s">
        <v>29</v>
      </c>
      <c r="M44" s="7" t="s">
        <v>29</v>
      </c>
      <c r="N44" s="7" t="s">
        <v>50</v>
      </c>
      <c r="O44" s="7"/>
    </row>
    <row r="45" ht="54" customHeight="1" spans="1:15">
      <c r="A45" s="7" t="s">
        <v>330</v>
      </c>
      <c r="B45" s="7" t="s">
        <v>331</v>
      </c>
      <c r="C45" s="7" t="s">
        <v>332</v>
      </c>
      <c r="D45" s="7" t="s">
        <v>333</v>
      </c>
      <c r="E45" s="7" t="s">
        <v>334</v>
      </c>
      <c r="F45" s="7" t="s">
        <v>335</v>
      </c>
      <c r="G45" s="7" t="s">
        <v>336</v>
      </c>
      <c r="H45" s="7" t="s">
        <v>25</v>
      </c>
      <c r="I45" s="7" t="s">
        <v>57</v>
      </c>
      <c r="J45" s="7" t="s">
        <v>58</v>
      </c>
      <c r="K45" s="7" t="s">
        <v>337</v>
      </c>
      <c r="L45" s="7" t="s">
        <v>29</v>
      </c>
      <c r="M45" s="7" t="s">
        <v>29</v>
      </c>
      <c r="N45" s="7" t="s">
        <v>50</v>
      </c>
      <c r="O45" s="7"/>
    </row>
    <row r="46" ht="54" customHeight="1" spans="1:15">
      <c r="A46" s="7" t="s">
        <v>338</v>
      </c>
      <c r="B46" s="7" t="s">
        <v>339</v>
      </c>
      <c r="C46" s="7" t="s">
        <v>340</v>
      </c>
      <c r="D46" s="7" t="s">
        <v>341</v>
      </c>
      <c r="E46" s="7" t="s">
        <v>342</v>
      </c>
      <c r="F46" s="7" t="s">
        <v>343</v>
      </c>
      <c r="G46" s="7" t="s">
        <v>344</v>
      </c>
      <c r="H46" s="7" t="s">
        <v>25</v>
      </c>
      <c r="I46" s="7" t="s">
        <v>164</v>
      </c>
      <c r="J46" s="7" t="s">
        <v>165</v>
      </c>
      <c r="K46" s="7" t="s">
        <v>339</v>
      </c>
      <c r="L46" s="7" t="s">
        <v>29</v>
      </c>
      <c r="M46" s="7" t="s">
        <v>29</v>
      </c>
      <c r="N46" s="7" t="s">
        <v>50</v>
      </c>
      <c r="O46" s="7"/>
    </row>
    <row r="47" ht="54" customHeight="1" spans="1:15">
      <c r="A47" s="7" t="s">
        <v>345</v>
      </c>
      <c r="B47" s="7" t="s">
        <v>339</v>
      </c>
      <c r="C47" s="7" t="s">
        <v>346</v>
      </c>
      <c r="D47" s="7" t="s">
        <v>347</v>
      </c>
      <c r="E47" s="7" t="s">
        <v>342</v>
      </c>
      <c r="F47" s="7" t="s">
        <v>348</v>
      </c>
      <c r="G47" s="7" t="s">
        <v>344</v>
      </c>
      <c r="H47" s="7" t="s">
        <v>25</v>
      </c>
      <c r="I47" s="7" t="s">
        <v>164</v>
      </c>
      <c r="J47" s="7" t="s">
        <v>165</v>
      </c>
      <c r="K47" s="7" t="s">
        <v>339</v>
      </c>
      <c r="L47" s="7" t="s">
        <v>29</v>
      </c>
      <c r="M47" s="7" t="s">
        <v>29</v>
      </c>
      <c r="N47" s="7" t="s">
        <v>50</v>
      </c>
      <c r="O47" s="7"/>
    </row>
    <row r="48" ht="54" customHeight="1" spans="1:15">
      <c r="A48" s="7" t="s">
        <v>349</v>
      </c>
      <c r="B48" s="7" t="s">
        <v>350</v>
      </c>
      <c r="C48" s="7" t="s">
        <v>351</v>
      </c>
      <c r="D48" s="7" t="s">
        <v>352</v>
      </c>
      <c r="E48" s="7" t="s">
        <v>353</v>
      </c>
      <c r="F48" s="7" t="s">
        <v>79</v>
      </c>
      <c r="G48" s="7" t="s">
        <v>354</v>
      </c>
      <c r="H48" s="7" t="s">
        <v>25</v>
      </c>
      <c r="I48" s="7" t="s">
        <v>164</v>
      </c>
      <c r="J48" s="7" t="s">
        <v>165</v>
      </c>
      <c r="K48" s="7" t="s">
        <v>355</v>
      </c>
      <c r="L48" s="7" t="s">
        <v>29</v>
      </c>
      <c r="M48" s="7" t="s">
        <v>29</v>
      </c>
      <c r="N48" s="7" t="s">
        <v>50</v>
      </c>
      <c r="O48" s="7"/>
    </row>
    <row r="49" ht="54" customHeight="1" spans="1:15">
      <c r="A49" s="7" t="s">
        <v>356</v>
      </c>
      <c r="B49" s="7" t="s">
        <v>357</v>
      </c>
      <c r="C49" s="7" t="s">
        <v>358</v>
      </c>
      <c r="D49" s="7" t="s">
        <v>359</v>
      </c>
      <c r="E49" s="7" t="s">
        <v>360</v>
      </c>
      <c r="F49" s="7" t="s">
        <v>361</v>
      </c>
      <c r="G49" s="7" t="s">
        <v>362</v>
      </c>
      <c r="H49" s="8" t="s">
        <v>363</v>
      </c>
      <c r="I49" s="7" t="s">
        <v>57</v>
      </c>
      <c r="J49" s="7" t="s">
        <v>58</v>
      </c>
      <c r="K49" s="7" t="s">
        <v>364</v>
      </c>
      <c r="L49" s="7" t="s">
        <v>29</v>
      </c>
      <c r="M49" s="7" t="s">
        <v>40</v>
      </c>
      <c r="N49" s="7" t="s">
        <v>50</v>
      </c>
      <c r="O49" s="7" t="s">
        <v>365</v>
      </c>
    </row>
    <row r="50" spans="1:15">
      <c r="H50" s="9"/>
    </row>
  </sheetData>
  <mergeCells count="2">
    <mergeCell ref="A1:O1"/>
    <mergeCell ref="A2:O2"/>
  </mergeCells>
  <conditionalFormatting sqref="J5:J50">
    <cfRule type="expression" dxfId="0" priority="3">
      <formula>$J5="P0"</formula>
    </cfRule>
  </conditionalFormatting>
  <conditionalFormatting sqref="K5:K50">
    <cfRule type="expression" dxfId="1" priority="4">
      <formula>$K5="高"</formula>
    </cfRule>
  </conditionalFormatting>
  <conditionalFormatting sqref="M5:M50">
    <cfRule type="expression" dxfId="2" priority="1">
      <formula>$M5="通过"</formula>
    </cfRule>
    <cfRule type="expression" dxfId="3" priority="2">
      <formula>$M5="失败"</formula>
    </cfRule>
  </conditionalFormatting>
  <dataValidations count="6">
    <dataValidation type="list" sqref="B50 B5:B49">
      <formula1>数据字典!$A$2:$A$16</formula1>
    </dataValidation>
    <dataValidation type="list" sqref="J50 J5:J49">
      <formula1>数据字典!$B$2:$B$5</formula1>
    </dataValidation>
    <dataValidation type="list" sqref="K50 K5:K49">
      <formula1>数据字典!$C$2:$C$4</formula1>
    </dataValidation>
    <dataValidation type="list" sqref="L50 L5:L49">
      <formula1>数据字典!$D$2:$D$17</formula1>
    </dataValidation>
    <dataValidation type="list" sqref="M50 M5:M49">
      <formula1>数据字典!$E$2:$E$5</formula1>
    </dataValidation>
    <dataValidation type="list" sqref="N50 N5:N49">
      <formula1>"未回归,通过,失败,不适用"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A1" sqref="A1:H1"/>
    </sheetView>
  </sheetViews>
  <sheetFormatPr defaultColWidth="9" defaultRowHeight="13.5" outlineLevelCol="7"/>
  <cols>
    <col min="1" max="2" width="16" customWidth="1"/>
    <col min="4" max="4" width="18" customWidth="1"/>
    <col min="5" max="6" width="12" customWidth="1"/>
  </cols>
  <sheetData>
    <row r="1" ht="30" customHeight="1" spans="1:8">
      <c r="A1" s="3" t="s">
        <v>366</v>
      </c>
      <c r="B1" s="3"/>
      <c r="C1" s="3"/>
      <c r="D1" s="3"/>
      <c r="E1" s="3"/>
      <c r="F1" s="3"/>
      <c r="G1" s="3"/>
      <c r="H1" s="3"/>
    </row>
    <row r="3" ht="30" customHeight="1" spans="1:8">
      <c r="A3" s="1" t="s">
        <v>367</v>
      </c>
      <c r="B3" s="1" t="s">
        <v>368</v>
      </c>
      <c r="D3" s="1" t="s">
        <v>3</v>
      </c>
      <c r="E3" s="1" t="s">
        <v>369</v>
      </c>
      <c r="F3" s="1" t="s">
        <v>370</v>
      </c>
    </row>
    <row r="4" spans="1:8">
      <c r="A4" s="4" t="s">
        <v>371</v>
      </c>
      <c r="B4" s="4">
        <v>45</v>
      </c>
      <c r="D4" s="4" t="s">
        <v>289</v>
      </c>
      <c r="E4" s="4">
        <f>COUNTIF(功能测试用例!$B$5:$B$49,D4)</f>
        <v>2</v>
      </c>
      <c r="F4" s="4">
        <f>COUNTIFS(功能测试用例!$B$5:$B$49,D4,功能测试用例!$M$5:$M$49,"通过")</f>
        <v>1</v>
      </c>
    </row>
    <row r="5" spans="1:8">
      <c r="A5" s="4" t="s">
        <v>370</v>
      </c>
      <c r="B5" s="4">
        <f>COUNTIF(功能测试用例!M5:M50,"通过")</f>
        <v>28</v>
      </c>
      <c r="D5" s="4" t="s">
        <v>271</v>
      </c>
      <c r="E5" s="4">
        <f>COUNTIF(功能测试用例!$B$5:$B$49,D5)</f>
        <v>3</v>
      </c>
      <c r="F5" s="4">
        <f>COUNTIFS(功能测试用例!$B$5:$B$49,D5,功能测试用例!$M$5:$M$49,"通过")</f>
        <v>2</v>
      </c>
    </row>
    <row r="6" spans="1:8">
      <c r="A6" s="4" t="s">
        <v>372</v>
      </c>
      <c r="B6" s="4">
        <f>COUNTIF(功能测试用例!M5:M50,"失败")</f>
        <v>17</v>
      </c>
      <c r="D6" s="4" t="s">
        <v>118</v>
      </c>
      <c r="E6" s="4">
        <f>COUNTIF(功能测试用例!$B$5:$B$49,D6)</f>
        <v>2</v>
      </c>
      <c r="F6" s="4">
        <f>COUNTIFS(功能测试用例!$B$5:$B$49,D6,功能测试用例!$M$5:$M$49,"通过")</f>
        <v>1</v>
      </c>
    </row>
    <row r="7" spans="1:8">
      <c r="A7" s="4" t="s">
        <v>373</v>
      </c>
      <c r="B7" s="4">
        <f>COUNTIF(功能测试用例!M5:M50,"待执行")</f>
        <v>0</v>
      </c>
      <c r="D7" s="4" t="s">
        <v>339</v>
      </c>
      <c r="E7" s="4">
        <f>COUNTIF(功能测试用例!$B$5:$B$49,D7)</f>
        <v>2</v>
      </c>
      <c r="F7" s="4">
        <f>COUNTIFS(功能测试用例!$B$5:$B$49,D7,功能测试用例!$M$5:$M$49,"通过")</f>
        <v>2</v>
      </c>
    </row>
    <row r="8" spans="1:8">
      <c r="A8" s="4" t="s">
        <v>374</v>
      </c>
      <c r="B8" s="4">
        <f>COUNTIF(功能测试用例!M5:M50,"阻塞")</f>
        <v>0</v>
      </c>
      <c r="D8" s="4" t="s">
        <v>91</v>
      </c>
      <c r="E8" s="4">
        <f>COUNTIF(功能测试用例!$B$5:$B$49,D8)</f>
        <v>6</v>
      </c>
      <c r="F8" s="4">
        <f>COUNTIFS(功能测试用例!$B$5:$B$49,D8,功能测试用例!$M$5:$M$49,"通过")</f>
        <v>4</v>
      </c>
    </row>
    <row r="9" spans="1:8">
      <c r="D9" s="4" t="s">
        <v>216</v>
      </c>
      <c r="E9" s="4">
        <f>COUNTIF(功能测试用例!$B$5:$B$49,D9)</f>
        <v>3</v>
      </c>
      <c r="F9" s="4">
        <f>COUNTIFS(功能测试用例!$B$5:$B$49,D9,功能测试用例!$M$5:$M$49,"通过")</f>
        <v>2</v>
      </c>
    </row>
    <row r="10" ht="32" customHeight="1" spans="1:8">
      <c r="A10" s="5" t="s">
        <v>375</v>
      </c>
      <c r="B10" s="5"/>
      <c r="C10" s="5"/>
      <c r="D10" s="5" t="s">
        <v>152</v>
      </c>
      <c r="E10" s="5">
        <f>COUNTIF(功能测试用例!$B$5:$B$49,D10)</f>
        <v>8</v>
      </c>
      <c r="F10" s="5">
        <f>COUNTIFS(功能测试用例!$B$5:$B$49,D10,功能测试用例!$M$5:$M$49,"通过")</f>
        <v>6</v>
      </c>
      <c r="G10" s="5"/>
      <c r="H10" s="5"/>
    </row>
    <row r="11" spans="1:8">
      <c r="D11" s="4" t="s">
        <v>320</v>
      </c>
      <c r="E11" s="4">
        <f>COUNTIF(功能测试用例!$B$5:$B$49,D11)</f>
        <v>2</v>
      </c>
      <c r="F11" s="4">
        <f>COUNTIFS(功能测试用例!$B$5:$B$49,D11,功能测试用例!$M$5:$M$49,"通过")</f>
        <v>2</v>
      </c>
    </row>
    <row r="12" spans="1:8">
      <c r="D12" s="4" t="s">
        <v>331</v>
      </c>
      <c r="E12" s="4">
        <f>COUNTIF(功能测试用例!$B$5:$B$49,D12)</f>
        <v>1</v>
      </c>
      <c r="F12" s="4">
        <f>COUNTIFS(功能测试用例!$B$5:$B$49,D12,功能测试用例!$M$5:$M$49,"通过")</f>
        <v>1</v>
      </c>
    </row>
    <row r="13" spans="1:8">
      <c r="D13" s="4" t="s">
        <v>350</v>
      </c>
      <c r="E13" s="4">
        <f>COUNTIF(功能测试用例!$B$5:$B$49,D13)</f>
        <v>1</v>
      </c>
      <c r="F13" s="4">
        <f>COUNTIFS(功能测试用例!$B$5:$B$49,D13,功能测试用例!$M$5:$M$49,"通过")</f>
        <v>1</v>
      </c>
    </row>
    <row r="14" spans="1:8">
      <c r="D14" s="4" t="s">
        <v>18</v>
      </c>
      <c r="E14" s="4">
        <f>COUNTIF(功能测试用例!$B$5:$B$49,D14)</f>
        <v>6</v>
      </c>
      <c r="F14" s="4">
        <f>COUNTIFS(功能测试用例!$B$5:$B$49,D14,功能测试用例!$M$5:$M$49,"通过")</f>
        <v>4</v>
      </c>
    </row>
    <row r="15" spans="1:8">
      <c r="D15" s="4" t="s">
        <v>357</v>
      </c>
      <c r="E15" s="4">
        <f>COUNTIF(功能测试用例!$B$5:$B$49,D15)</f>
        <v>1</v>
      </c>
      <c r="F15" s="4">
        <f>COUNTIFS(功能测试用例!$B$5:$B$49,D15,功能测试用例!$M$5:$M$49,"通过")</f>
        <v>0</v>
      </c>
    </row>
    <row r="16" spans="1:8">
      <c r="D16" s="4" t="s">
        <v>242</v>
      </c>
      <c r="E16" s="4">
        <f>COUNTIF(功能测试用例!$B$5:$B$49,D16)</f>
        <v>4</v>
      </c>
      <c r="F16" s="4">
        <f>COUNTIFS(功能测试用例!$B$5:$B$49,D16,功能测试用例!$M$5:$M$49,"通过")</f>
        <v>2</v>
      </c>
    </row>
    <row r="17" spans="4:6">
      <c r="D17" s="4" t="s">
        <v>304</v>
      </c>
      <c r="E17" s="4">
        <f>COUNTIF(功能测试用例!$B$5:$B$49,D17)</f>
        <v>2</v>
      </c>
      <c r="F17" s="4">
        <f>COUNTIFS(功能测试用例!$B$5:$B$49,D17,功能测试用例!$M$5:$M$49,"通过")</f>
        <v>0</v>
      </c>
    </row>
    <row r="18" spans="4:6">
      <c r="D18" s="4" t="s">
        <v>75</v>
      </c>
      <c r="E18" s="4">
        <f>COUNTIF(功能测试用例!$B$5:$B$49,D18)</f>
        <v>2</v>
      </c>
      <c r="F18" s="4">
        <f>COUNTIFS(功能测试用例!$B$5:$B$49,D18,功能测试用例!$M$5:$M$49,"通过")</f>
        <v>0</v>
      </c>
    </row>
  </sheetData>
  <mergeCells count="2">
    <mergeCell ref="A1:H1"/>
    <mergeCell ref="A10:H1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"/>
    </sheetView>
  </sheetViews>
  <sheetFormatPr defaultColWidth="9" defaultRowHeight="13.5" outlineLevelCol="4"/>
  <cols>
    <col min="1" max="5" width="18" customWidth="1"/>
  </cols>
  <sheetData>
    <row r="1" ht="30" customHeight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s="2" t="s">
        <v>289</v>
      </c>
      <c r="B2" s="2" t="s">
        <v>26</v>
      </c>
      <c r="C2" s="2" t="s">
        <v>27</v>
      </c>
      <c r="D2" s="2" t="s">
        <v>39</v>
      </c>
      <c r="E2" s="2" t="s">
        <v>376</v>
      </c>
    </row>
    <row r="3" spans="1:5">
      <c r="A3" s="2" t="s">
        <v>271</v>
      </c>
      <c r="B3" s="2" t="s">
        <v>57</v>
      </c>
      <c r="C3" s="2" t="s">
        <v>58</v>
      </c>
      <c r="D3" s="2" t="s">
        <v>81</v>
      </c>
      <c r="E3" s="2" t="s">
        <v>29</v>
      </c>
    </row>
    <row r="4" spans="1:5">
      <c r="A4" s="2" t="s">
        <v>118</v>
      </c>
      <c r="B4" s="2" t="s">
        <v>164</v>
      </c>
      <c r="C4" s="2" t="s">
        <v>165</v>
      </c>
      <c r="D4" s="2" t="s">
        <v>59</v>
      </c>
      <c r="E4" s="2" t="s">
        <v>40</v>
      </c>
    </row>
    <row r="5" spans="1:5">
      <c r="A5" s="2" t="s">
        <v>339</v>
      </c>
      <c r="B5" s="2" t="s">
        <v>377</v>
      </c>
      <c r="C5" s="2"/>
      <c r="D5" s="2" t="s">
        <v>175</v>
      </c>
      <c r="E5" s="2" t="s">
        <v>378</v>
      </c>
    </row>
    <row r="6" spans="1:5">
      <c r="A6" s="2" t="s">
        <v>91</v>
      </c>
      <c r="B6" s="2"/>
      <c r="C6" s="2"/>
      <c r="D6" s="2" t="s">
        <v>126</v>
      </c>
      <c r="E6" s="2"/>
    </row>
    <row r="7" spans="1:5">
      <c r="A7" s="2" t="s">
        <v>216</v>
      </c>
      <c r="B7" s="2"/>
      <c r="C7" s="2"/>
      <c r="D7" s="2" t="s">
        <v>205</v>
      </c>
      <c r="E7" s="2"/>
    </row>
    <row r="8" spans="1:5">
      <c r="A8" s="2" t="s">
        <v>152</v>
      </c>
      <c r="B8" s="2"/>
      <c r="C8" s="2"/>
      <c r="D8" s="2" t="s">
        <v>232</v>
      </c>
      <c r="E8" s="2"/>
    </row>
    <row r="9" spans="1:5">
      <c r="A9" s="2" t="s">
        <v>320</v>
      </c>
      <c r="B9" s="2"/>
      <c r="C9" s="2"/>
      <c r="D9" s="2" t="s">
        <v>311</v>
      </c>
      <c r="E9" s="2"/>
    </row>
    <row r="10" spans="1:5">
      <c r="A10" s="2" t="s">
        <v>331</v>
      </c>
      <c r="B10" s="2"/>
      <c r="C10" s="2"/>
      <c r="D10" s="2" t="s">
        <v>379</v>
      </c>
      <c r="E10" s="2"/>
    </row>
    <row r="11" spans="1:5">
      <c r="A11" s="2" t="s">
        <v>350</v>
      </c>
      <c r="B11" s="2"/>
      <c r="C11" s="2"/>
      <c r="D11" s="2" t="s">
        <v>355</v>
      </c>
      <c r="E11" s="2"/>
    </row>
    <row r="12" spans="1:5">
      <c r="A12" s="2" t="s">
        <v>18</v>
      </c>
      <c r="B12" s="2"/>
      <c r="C12" s="2"/>
      <c r="D12" s="2" t="s">
        <v>364</v>
      </c>
      <c r="E12" s="2"/>
    </row>
    <row r="13" spans="1:5">
      <c r="A13" s="2" t="s">
        <v>357</v>
      </c>
      <c r="B13" s="2"/>
      <c r="C13" s="2"/>
      <c r="D13" s="2" t="s">
        <v>339</v>
      </c>
      <c r="E13" s="2"/>
    </row>
    <row r="14" spans="1:5">
      <c r="A14" s="2" t="s">
        <v>242</v>
      </c>
      <c r="B14" s="2"/>
      <c r="C14" s="2"/>
      <c r="D14" s="2" t="s">
        <v>75</v>
      </c>
      <c r="E14" s="2"/>
    </row>
    <row r="15" spans="1:5">
      <c r="A15" s="2" t="s">
        <v>304</v>
      </c>
      <c r="B15" s="2"/>
      <c r="C15" s="2"/>
      <c r="D15" s="2" t="s">
        <v>324</v>
      </c>
      <c r="E15" s="2"/>
    </row>
    <row r="16" spans="1:5">
      <c r="A16" s="2" t="s">
        <v>75</v>
      </c>
      <c r="B16" s="2"/>
      <c r="C16" s="2"/>
      <c r="D16" s="2" t="s">
        <v>115</v>
      </c>
      <c r="E16" s="2"/>
    </row>
    <row r="17" spans="1:5">
      <c r="A17" s="2"/>
      <c r="B17" s="2"/>
      <c r="C17" s="2"/>
      <c r="D17" s="2" t="s">
        <v>337</v>
      </c>
      <c r="E1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功能测试用例</vt:lpstr>
      <vt:lpstr>统计汇总</vt:lpstr>
      <vt:lpstr>数据字典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张越</cp:lastModifiedBy>
  <dcterms:created xsi:type="dcterms:W3CDTF">2026-07-10T07:33:25Z</dcterms:created>
  <dcterms:modified xsi:type="dcterms:W3CDTF">2026-07-10T09:19:17Z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F6FF5098ABCF4609A60B8DEC409DDBD3_12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