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36f76b5fe3412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功能测试用例" sheetId="1" r:id="R229012ba0e844588"/>
    <x:sheet xmlns:r="http://schemas.openxmlformats.org/officeDocument/2006/relationships" name="统计汇总" sheetId="2" r:id="R585212fde99f4bbb"/>
    <x:sheet xmlns:r="http://schemas.openxmlformats.org/officeDocument/2006/relationships" name="数据字典" sheetId="3" r:id="R522c538c9de94a9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4E79"/>
      <x:name val="Carlito"/>
    </x:font>
    <x:font>
      <x:b/>
      <x:sz val="11"/>
      <x:color rgb="FFFFFFFF"/>
      <x:name val="Carlito"/>
    </x:font>
    <x:font>
      <x:sz val="11"/>
      <x:color rgb="FF7F6000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FFF2CC"/>
      </x:patternFill>
    </x:fill>
  </x:fills>
  <x:borders count="2">
    <x:border/>
    <x:border/>
  </x:borders>
  <x:cellStyleXfs count="1">
    <x:xf numFmtId="0" fontId="0" fillId="0" borderId="0"/>
  </x:cellStyleXfs>
  <x:cellXfs count="3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8CBAD"/>
        </x:patternFill>
      </x:fill>
    </x:dxf>
    <x:dxf>
      <x:font>
        <x:b/>
        <x:color rgb="FF990000"/>
      </x:font>
      <x:fill>
        <x:patternFill patternType="solid">
          <x:bgColor rgb="FFF4CCCC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f24bcff80e94475" /><Relationship Type="http://schemas.openxmlformats.org/officeDocument/2006/relationships/theme" Target="/xl/theme/theme1.xml" Id="R714e11e60aab444b" /><Relationship Type="http://schemas.openxmlformats.org/officeDocument/2006/relationships/sharedStrings" Target="/xl/sharedStrings.xml" Id="R105ced5c32bc4869" /><Relationship Type="http://schemas.openxmlformats.org/officeDocument/2006/relationships/worksheet" Target="/xl/worksheets/sheet1.xml" Id="R229012ba0e844588" /><Relationship Type="http://schemas.openxmlformats.org/officeDocument/2006/relationships/worksheet" Target="/xl/worksheets/sheet2.xml" Id="R585212fde99f4bbb" /><Relationship Type="http://schemas.openxmlformats.org/officeDocument/2006/relationships/worksheet" Target="/xl/worksheets/sheet3.xml" Id="R522c538c9de94a9a" /></Relationships>
</file>

<file path=xl/tables/table1.xml><?xml version="1.0" encoding="utf-8"?>
<x:table xmlns:x="http://schemas.openxmlformats.org/spreadsheetml/2006/main" id="1" name="FunctionalCasesTable" displayName="FunctionalCasesTable" ref="A4:O49" headerRowCount="1">
  <x:tableColumns count="15">
    <x:tableColumn id="1" name="用例编号"/>
    <x:tableColumn id="2" name="一级模块"/>
    <x:tableColumn id="3" name="二级功能/测试点"/>
    <x:tableColumn id="4" name="用例标题"/>
    <x:tableColumn id="5" name="前置条件"/>
    <x:tableColumn id="6" name="操作步骤"/>
    <x:tableColumn id="7" name="测试数据"/>
    <x:tableColumn id="8" name="预期结果"/>
    <x:tableColumn id="9" name="实际结果"/>
    <x:tableColumn id="10" name="优先级"/>
    <x:tableColumn id="11" name="严重程度"/>
    <x:tableColumn id="12" name="测试类型"/>
    <x:tableColumn id="13" name="执行状态"/>
    <x:tableColumn id="14" name="回归结果"/>
    <x:tableColumn id="15" name="备注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8ac508ee2634203" /></Relationships>
</file>

<file path=xl/worksheets/sheet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8" hidden="0" customWidth="1"/>
    <x:col min="4" max="4" width="24" hidden="0" customWidth="1"/>
    <x:col min="5" max="5" width="24" hidden="0" customWidth="1"/>
    <x:col min="6" max="6" width="34" hidden="0" customWidth="1"/>
    <x:col min="7" max="7" width="28" hidden="0" customWidth="1"/>
    <x:col min="8" max="8" width="36" hidden="0" customWidth="1"/>
    <x:col min="9" max="9" width="18" hidden="0" customWidth="1"/>
    <x:col min="10" max="10" width="10" hidden="0" customWidth="1"/>
    <x:col min="11" max="11" width="10" hidden="0" customWidth="1"/>
    <x:col min="12" max="12" width="15" hidden="0" customWidth="1"/>
    <x:col min="13" max="13" width="10" hidden="0" customWidth="1"/>
    <x:col min="14" max="14" width="10" hidden="0" customWidth="1"/>
    <x:col min="15" max="15" width="20" hidden="0" customWidth="1"/>
  </x:cols>
  <x:sheetData>
    <x:row r="1" ht="30" customHeight="1">
      <x:c r="A1" s="5" t="str">
        <x:v>AI Agent 多角色圆桌对谈与剧本生成系统功能测试用例表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</x:row>
    <x:row r="2" ht="24" customHeight="1">
      <x:c r="A2" s="13" t="str">
        <x:v>生成日期：2026-07-09    测试范围：登录注册、内容生成、多 Agent 圆桌、Tool Calling、RAG、Memory、自定义 Agent、文档与自动化测试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  <x:c r="O2" s="13"/>
    </x:row>
    <x:row r="4" ht="30" customHeight="1">
      <x:c r="A4" s="22" t="str">
        <x:v>用例编号</x:v>
      </x:c>
      <x:c r="B4" s="22" t="str">
        <x:v>一级模块</x:v>
      </x:c>
      <x:c r="C4" s="22" t="str">
        <x:v>二级功能/测试点</x:v>
      </x:c>
      <x:c r="D4" s="22" t="str">
        <x:v>用例标题</x:v>
      </x:c>
      <x:c r="E4" s="22" t="str">
        <x:v>前置条件</x:v>
      </x:c>
      <x:c r="F4" s="22" t="str">
        <x:v>操作步骤</x:v>
      </x:c>
      <x:c r="G4" s="22" t="str">
        <x:v>测试数据</x:v>
      </x:c>
      <x:c r="H4" s="22" t="str">
        <x:v>预期结果</x:v>
      </x:c>
      <x:c r="I4" s="22" t="str">
        <x:v>实际结果</x:v>
      </x:c>
      <x:c r="J4" s="22" t="str">
        <x:v>优先级</x:v>
      </x:c>
      <x:c r="K4" s="22" t="str">
        <x:v>严重程度</x:v>
      </x:c>
      <x:c r="L4" s="22" t="str">
        <x:v>测试类型</x:v>
      </x:c>
      <x:c r="M4" s="22" t="str">
        <x:v>执行状态</x:v>
      </x:c>
      <x:c r="N4" s="22" t="str">
        <x:v>回归结果</x:v>
      </x:c>
      <x:c r="O4" s="22" t="str">
        <x:v>备注</x:v>
      </x:c>
    </x:row>
    <x:row r="5" ht="54" customHeight="1">
      <x:c r="A5" s="30" t="str">
        <x:v>TC-001</x:v>
      </x:c>
      <x:c r="B5" s="30" t="str">
        <x:v>登录注册</x:v>
      </x:c>
      <x:c r="C5" s="30" t="str">
        <x:v>页面访问</x:v>
      </x:c>
      <x:c r="D5" s="30" t="str">
        <x:v>未登录访问系统自动跳转登录页</x:v>
      </x:c>
      <x:c r="E5" s="30" t="str">
        <x:v>浏览器未登录，localStorage 无 token</x:v>
      </x:c>
      <x:c r="F5" s="30" t="str">
        <x:v>打开 http://localhost:5174 或 /app/tree-hole?view=content</x:v>
      </x:c>
      <x:c r="G5" s="30" t="str">
        <x:v>token 为空</x:v>
      </x:c>
      <x:c r="H5" s="30" t="str">
        <x:v>跳转到登录/注册页，不直接进入系统页面</x:v>
      </x:c>
      <x:c r="I5" s="30" t="str">
        <x:v>与预期一致</x:v>
      </x:c>
      <x:c r="J5" s="30" t="str">
        <x:v>P0</x:v>
      </x:c>
      <x:c r="K5" s="30" t="str">
        <x:v>高</x:v>
      </x:c>
      <x:c r="L5" s="30" t="str">
        <x:v>功能/鉴权</x:v>
      </x:c>
      <x:c r="M5" s="30" t="str">
        <x:v>通过</x:v>
      </x:c>
      <x:c r="N5" s="30" t="str">
        <x:v>通过</x:v>
      </x:c>
      <x:c r="O5" s="30" t="str">
        <x:v>验证路由守卫</x:v>
      </x:c>
    </x:row>
    <x:row r="6" ht="54" customHeight="1">
      <x:c r="A6" s="30" t="str">
        <x:v>TC-002</x:v>
      </x:c>
      <x:c r="B6" s="30" t="str">
        <x:v>登录注册</x:v>
      </x:c>
      <x:c r="C6" s="30" t="str">
        <x:v>注册</x:v>
      </x:c>
      <x:c r="D6" s="30" t="str">
        <x:v>新用户注册后自动登录</x:v>
      </x:c>
      <x:c r="E6" s="30" t="str">
        <x:v>打开登录页</x:v>
      </x:c>
      <x:c r="F6" s="30" t="str">
        <x:v>切换到注册，输入新用户名和密码，点击注册</x:v>
      </x:c>
      <x:c r="G6" s="30" t="str">
        <x:v>username=test01；password=123456</x:v>
      </x:c>
      <x:c r="H6" s="30" t="str">
        <x:v>注册成功，保存 token 和当前用户，自动进入内容选择页</x:v>
      </x:c>
      <x:c r="I6" s="30" t="str">
        <x:v>与预期一致</x:v>
      </x:c>
      <x:c r="J6" s="30" t="str">
        <x:v>P0</x:v>
      </x:c>
      <x:c r="K6" s="30" t="str">
        <x:v>高</x:v>
      </x:c>
      <x:c r="L6" s="30" t="str">
        <x:v>功能</x:v>
      </x:c>
      <x:c r="M6" s="30" t="str">
        <x:v>通过</x:v>
      </x:c>
      <x:c r="N6" s="30" t="str">
        <x:v>通过</x:v>
      </x:c>
      <x:c r="O6" s="30" t="str">
        <x:v>注册后自动登录</x:v>
      </x:c>
    </x:row>
    <x:row r="7" ht="54" customHeight="1">
      <x:c r="A7" s="30" t="str">
        <x:v>TC-003</x:v>
      </x:c>
      <x:c r="B7" s="30" t="str">
        <x:v>登录注册</x:v>
      </x:c>
      <x:c r="C7" s="30" t="str">
        <x:v>登录</x:v>
      </x:c>
      <x:c r="D7" s="30" t="str">
        <x:v>已有账号正确登录</x:v>
      </x:c>
      <x:c r="E7" s="30" t="str">
        <x:v>已有账号存在</x:v>
      </x:c>
      <x:c r="F7" s="30" t="str">
        <x:v>输入正确用户名和密码，点击登录</x:v>
      </x:c>
      <x:c r="G7" s="30" t="str">
        <x:v>demo / 123456</x:v>
      </x:c>
      <x:c r="H7" s="30" t="str">
        <x:v>登录成功，进入内容页，默认展示两个生成入口</x:v>
      </x:c>
      <x:c r="I7" s="30" t="str">
        <x:v>与预期一致</x:v>
      </x:c>
      <x:c r="J7" s="30" t="str">
        <x:v>P0</x:v>
      </x:c>
      <x:c r="K7" s="30" t="str">
        <x:v>高</x:v>
      </x:c>
      <x:c r="L7" s="30" t="str">
        <x:v>功能</x:v>
      </x:c>
      <x:c r="M7" s="30" t="str">
        <x:v>通过</x:v>
      </x:c>
      <x:c r="N7" s="30" t="str">
        <x:v>通过</x:v>
      </x:c>
      <x:c r="O7" s="30" t="str"/>
    </x:row>
    <x:row r="8" ht="54" customHeight="1">
      <x:c r="A8" s="30" t="str">
        <x:v>TC-004</x:v>
      </x:c>
      <x:c r="B8" s="30" t="str">
        <x:v>登录注册</x:v>
      </x:c>
      <x:c r="C8" s="30" t="str">
        <x:v>登录异常</x:v>
      </x:c>
      <x:c r="D8" s="30" t="str">
        <x:v>错误密码登录失败</x:v>
      </x:c>
      <x:c r="E8" s="30" t="str">
        <x:v>已有账号存在</x:v>
      </x:c>
      <x:c r="F8" s="30" t="str">
        <x:v>输入正确用户名和错误密码，点击登录</x:v>
      </x:c>
      <x:c r="G8" s="30" t="str">
        <x:v>demo / wrongpwd</x:v>
      </x:c>
      <x:c r="H8" s="30" t="str">
        <x:v>提示登录失败，不保存 token，不进入系统</x:v>
      </x:c>
      <x:c r="I8" s="30" t="str">
        <x:v>与预期一致</x:v>
      </x:c>
      <x:c r="J8" s="30" t="str">
        <x:v>P1</x:v>
      </x:c>
      <x:c r="K8" s="30" t="str">
        <x:v>中</x:v>
      </x:c>
      <x:c r="L8" s="30" t="str">
        <x:v>异常</x:v>
      </x:c>
      <x:c r="M8" s="30" t="str">
        <x:v>通过</x:v>
      </x:c>
      <x:c r="N8" s="30" t="str">
        <x:v>通过</x:v>
      </x:c>
      <x:c r="O8" s="30" t="str"/>
    </x:row>
    <x:row r="9" ht="54" customHeight="1">
      <x:c r="A9" s="30" t="str">
        <x:v>TC-005</x:v>
      </x:c>
      <x:c r="B9" s="30" t="str">
        <x:v>登录注册</x:v>
      </x:c>
      <x:c r="C9" s="30" t="str">
        <x:v>游客登录</x:v>
      </x:c>
      <x:c r="D9" s="30" t="str">
        <x:v>游客登录进入系统</x:v>
      </x:c>
      <x:c r="E9" s="30" t="str">
        <x:v>打开登录页</x:v>
      </x:c>
      <x:c r="F9" s="30" t="str">
        <x:v>点击游客登录按钮</x:v>
      </x:c>
      <x:c r="G9" s="30" t="str">
        <x:v>游客账号自动生成</x:v>
      </x:c>
      <x:c r="H9" s="30" t="str">
        <x:v>游客登录成功，进入内容选择页，并保存游客用户名</x:v>
      </x:c>
      <x:c r="I9" s="30" t="str">
        <x:v>与预期一致</x:v>
      </x:c>
      <x:c r="J9" s="30" t="str">
        <x:v>P0</x:v>
      </x:c>
      <x:c r="K9" s="30" t="str">
        <x:v>高</x:v>
      </x:c>
      <x:c r="L9" s="30" t="str">
        <x:v>功能</x:v>
      </x:c>
      <x:c r="M9" s="30" t="str">
        <x:v>通过</x:v>
      </x:c>
      <x:c r="N9" s="30" t="str">
        <x:v>通过</x:v>
      </x:c>
      <x:c r="O9" s="30" t="str"/>
    </x:row>
    <x:row r="10" ht="54" customHeight="1">
      <x:c r="A10" s="30" t="str">
        <x:v>TC-006</x:v>
      </x:c>
      <x:c r="B10" s="30" t="str">
        <x:v>登录注册</x:v>
      </x:c>
      <x:c r="C10" s="30" t="str">
        <x:v>退出登录</x:v>
      </x:c>
      <x:c r="D10" s="30" t="str">
        <x:v>退出登录清除状态</x:v>
      </x:c>
      <x:c r="E10" s="30" t="str">
        <x:v>已登录</x:v>
      </x:c>
      <x:c r="F10" s="30" t="str">
        <x:v>进入我的页，点击退出登录</x:v>
      </x:c>
      <x:c r="G10" s="30" t="str">
        <x:v>当前 token 有效</x:v>
      </x:c>
      <x:c r="H10" s="30" t="str">
        <x:v>清除 token 和当前用户，返回登录页</x:v>
      </x:c>
      <x:c r="I10" s="30" t="str">
        <x:v>与预期一致</x:v>
      </x:c>
      <x:c r="J10" s="30" t="str">
        <x:v>P0</x:v>
      </x:c>
      <x:c r="K10" s="30" t="str">
        <x:v>高</x:v>
      </x:c>
      <x:c r="L10" s="30" t="str">
        <x:v>功能</x:v>
      </x:c>
      <x:c r="M10" s="30" t="str">
        <x:v>通过</x:v>
      </x:c>
      <x:c r="N10" s="30" t="str">
        <x:v>通过</x:v>
      </x:c>
      <x:c r="O10" s="30" t="str"/>
    </x:row>
    <x:row r="11" ht="54" customHeight="1">
      <x:c r="A11" s="30" t="str">
        <x:v>TC-007</x:v>
      </x:c>
      <x:c r="B11" s="30" t="str">
        <x:v>页面导航</x:v>
      </x:c>
      <x:c r="C11" s="30" t="str">
        <x:v>内容页</x:v>
      </x:c>
      <x:c r="D11" s="30" t="str">
        <x:v>登录后默认进入内容选择页</x:v>
      </x:c>
      <x:c r="E11" s="30" t="str">
        <x:v>已登录</x:v>
      </x:c>
      <x:c r="F11" s="30" t="str">
        <x:v>打开 /app/tree-hole?view=content</x:v>
      </x:c>
      <x:c r="G11" s="30" t="str">
        <x:v>无</x:v>
      </x:c>
      <x:c r="H11" s="30" t="str">
        <x:v>页面只显示“多 Agent 协助生成”和“直接生成方案”两个入口</x:v>
      </x:c>
      <x:c r="I11" s="30" t="str">
        <x:v>与预期一致</x:v>
      </x:c>
      <x:c r="J11" s="30" t="str">
        <x:v>P0</x:v>
      </x:c>
      <x:c r="K11" s="30" t="str">
        <x:v>高</x:v>
      </x:c>
      <x:c r="L11" s="30" t="str">
        <x:v>UI/功能</x:v>
      </x:c>
      <x:c r="M11" s="30" t="str">
        <x:v>通过</x:v>
      </x:c>
      <x:c r="N11" s="30" t="str">
        <x:v>通过</x:v>
      </x:c>
      <x:c r="O11" s="30" t="str"/>
    </x:row>
    <x:row r="12" ht="54" customHeight="1">
      <x:c r="A12" s="30" t="str">
        <x:v>TC-008</x:v>
      </x:c>
      <x:c r="B12" s="30" t="str">
        <x:v>页面导航</x:v>
      </x:c>
      <x:c r="C12" s="30" t="str">
        <x:v>底部导航</x:v>
      </x:c>
      <x:c r="D12" s="30" t="str">
        <x:v>底部导航切换页面</x:v>
      </x:c>
      <x:c r="E12" s="30" t="str">
        <x:v>已登录</x:v>
      </x:c>
      <x:c r="F12" s="30" t="str">
        <x:v>依次点击 内容、知识库、我的</x:v>
      </x:c>
      <x:c r="G12" s="30" t="str">
        <x:v>无</x:v>
      </x:c>
      <x:c r="H12" s="30" t="str">
        <x:v>页面能在三个模块间正常切换，选中状态正确</x:v>
      </x:c>
      <x:c r="I12" s="30" t="str">
        <x:v>与预期一致</x:v>
      </x:c>
      <x:c r="J12" s="30" t="str">
        <x:v>P1</x:v>
      </x:c>
      <x:c r="K12" s="30" t="str">
        <x:v>中</x:v>
      </x:c>
      <x:c r="L12" s="30" t="str">
        <x:v>UI/功能</x:v>
      </x:c>
      <x:c r="M12" s="30" t="str">
        <x:v>通过</x:v>
      </x:c>
      <x:c r="N12" s="30" t="str">
        <x:v>通过</x:v>
      </x:c>
      <x:c r="O12" s="30" t="str"/>
    </x:row>
    <x:row r="13" ht="54" customHeight="1">
      <x:c r="A13" s="30" t="str">
        <x:v>TC-009</x:v>
      </x:c>
      <x:c r="B13" s="30" t="str">
        <x:v>内容生产</x:v>
      </x:c>
      <x:c r="C13" s="30" t="str">
        <x:v>方式选择</x:v>
      </x:c>
      <x:c r="D13" s="30" t="str">
        <x:v>选择直接生成方案</x:v>
      </x:c>
      <x:c r="E13" s="30" t="str">
        <x:v>已登录，进入内容选择页</x:v>
      </x:c>
      <x:c r="F13" s="30" t="str">
        <x:v>点击“直接生成方案”卡片</x:v>
      </x:c>
      <x:c r="G13" s="30" t="str">
        <x:v>无</x:v>
      </x:c>
      <x:c r="H13" s="30" t="str">
        <x:v>进入剧本方案生成表单页</x:v>
      </x:c>
      <x:c r="I13" s="30" t="str">
        <x:v>与预期一致</x:v>
      </x:c>
      <x:c r="J13" s="30" t="str">
        <x:v>P0</x:v>
      </x:c>
      <x:c r="K13" s="30" t="str">
        <x:v>高</x:v>
      </x:c>
      <x:c r="L13" s="30" t="str">
        <x:v>功能</x:v>
      </x:c>
      <x:c r="M13" s="30" t="str">
        <x:v>通过</x:v>
      </x:c>
      <x:c r="N13" s="30" t="str">
        <x:v>通过</x:v>
      </x:c>
      <x:c r="O13" s="30" t="str"/>
    </x:row>
    <x:row r="14" ht="54" customHeight="1">
      <x:c r="A14" s="30" t="str">
        <x:v>TC-010</x:v>
      </x:c>
      <x:c r="B14" s="30" t="str">
        <x:v>内容生产</x:v>
      </x:c>
      <x:c r="C14" s="30" t="str">
        <x:v>方式选择</x:v>
      </x:c>
      <x:c r="D14" s="30" t="str">
        <x:v>选择多 Agent 协助生成</x:v>
      </x:c>
      <x:c r="E14" s="30" t="str">
        <x:v>已登录，进入内容选择页</x:v>
      </x:c>
      <x:c r="F14" s="30" t="str">
        <x:v>点击“多 Agent 协助生成”卡片</x:v>
      </x:c>
      <x:c r="G14" s="30" t="str">
        <x:v>无</x:v>
      </x:c>
      <x:c r="H14" s="30" t="str">
        <x:v>进入多 Agent 圆桌页面</x:v>
      </x:c>
      <x:c r="I14" s="30" t="str">
        <x:v>与预期一致</x:v>
      </x:c>
      <x:c r="J14" s="30" t="str">
        <x:v>P0</x:v>
      </x:c>
      <x:c r="K14" s="30" t="str">
        <x:v>高</x:v>
      </x:c>
      <x:c r="L14" s="30" t="str">
        <x:v>功能</x:v>
      </x:c>
      <x:c r="M14" s="30" t="str">
        <x:v>通过</x:v>
      </x:c>
      <x:c r="N14" s="30" t="str">
        <x:v>通过</x:v>
      </x:c>
      <x:c r="O14" s="30" t="str"/>
    </x:row>
    <x:row r="15" ht="54" customHeight="1">
      <x:c r="A15" s="30" t="str">
        <x:v>TC-011</x:v>
      </x:c>
      <x:c r="B15" s="30" t="str">
        <x:v>内容生产</x:v>
      </x:c>
      <x:c r="C15" s="30" t="str">
        <x:v>表单展示</x:v>
      </x:c>
      <x:c r="D15" s="30" t="str">
        <x:v>直接生成页表单字段完整</x:v>
      </x:c>
      <x:c r="E15" s="30" t="str">
        <x:v>进入直接生成方案页</x:v>
      </x:c>
      <x:c r="F15" s="30" t="str">
        <x:v>查看页面输入项</x:v>
      </x:c>
      <x:c r="G15" s="30" t="str">
        <x:v>无</x:v>
      </x:c>
      <x:c r="H15" s="30" t="str">
        <x:v>展示题材类型、平台场景、目标受众、内容风格、具体需求输入框</x:v>
      </x:c>
      <x:c r="I15" s="30" t="str">
        <x:v>与预期一致</x:v>
      </x:c>
      <x:c r="J15" s="30" t="str">
        <x:v>P0</x:v>
      </x:c>
      <x:c r="K15" s="30" t="str">
        <x:v>高</x:v>
      </x:c>
      <x:c r="L15" s="30" t="str">
        <x:v>UI/功能</x:v>
      </x:c>
      <x:c r="M15" s="30" t="str">
        <x:v>通过</x:v>
      </x:c>
      <x:c r="N15" s="30" t="str">
        <x:v>通过</x:v>
      </x:c>
      <x:c r="O15" s="30" t="str"/>
    </x:row>
    <x:row r="16" ht="54" customHeight="1">
      <x:c r="A16" s="30" t="str">
        <x:v>TC-012</x:v>
      </x:c>
      <x:c r="B16" s="30" t="str">
        <x:v>内容生产</x:v>
      </x:c>
      <x:c r="C16" s="30" t="str">
        <x:v>输入框</x:v>
      </x:c>
      <x:c r="D16" s="30" t="str">
        <x:v>具体需求为可编辑多行文本框</x:v>
      </x:c>
      <x:c r="E16" s="30" t="str">
        <x:v>进入直接生成方案页</x:v>
      </x:c>
      <x:c r="F16" s="30" t="str">
        <x:v>查看并编辑具体需求输入框</x:v>
      </x:c>
      <x:c r="G16" s="30" t="str">
        <x:v>女主被误会后离开...</x:v>
      </x:c>
      <x:c r="H16" s="30" t="str">
        <x:v>输入框显示正常，可编辑多行文本，不再出现标签错乱文字</x:v>
      </x:c>
      <x:c r="I16" s="30" t="str">
        <x:v>与预期一致</x:v>
      </x:c>
      <x:c r="J16" s="30" t="str">
        <x:v>P0</x:v>
      </x:c>
      <x:c r="K16" s="30" t="str">
        <x:v>高</x:v>
      </x:c>
      <x:c r="L16" s="30" t="str">
        <x:v>UI/回归</x:v>
      </x:c>
      <x:c r="M16" s="30" t="str">
        <x:v>通过</x:v>
      </x:c>
      <x:c r="N16" s="30" t="str">
        <x:v>通过</x:v>
      </x:c>
      <x:c r="O16" s="30" t="str">
        <x:v>对应历史 Bug 回归</x:v>
      </x:c>
    </x:row>
    <x:row r="17" ht="54" customHeight="1">
      <x:c r="A17" s="30" t="str">
        <x:v>TC-013</x:v>
      </x:c>
      <x:c r="B17" s="30" t="str">
        <x:v>Tool Calling</x:v>
      </x:c>
      <x:c r="C17" s="30" t="str">
        <x:v>内容分析</x:v>
      </x:c>
      <x:c r="D17" s="30" t="str">
        <x:v>点击先分析内容返回结构化结果</x:v>
      </x:c>
      <x:c r="E17" s="30" t="str">
        <x:v>直接生成页已填写需求</x:v>
      </x:c>
      <x:c r="F17" s="30" t="str">
        <x:v>点击“先分析内容”</x:v>
      </x:c>
      <x:c r="G17" s="30" t="str">
        <x:v>追妻火葬场、误会、离开、追悔</x:v>
      </x:c>
      <x:c r="H17" s="30" t="str">
        <x:v>展示冲突强度、情绪基调、推荐标签、优化建议</x:v>
      </x:c>
      <x:c r="I17" s="30" t="str">
        <x:v>与预期一致</x:v>
      </x:c>
      <x:c r="J17" s="30" t="str">
        <x:v>P0</x:v>
      </x:c>
      <x:c r="K17" s="30" t="str">
        <x:v>高</x:v>
      </x:c>
      <x:c r="L17" s="30" t="str">
        <x:v>功能/AI</x:v>
      </x:c>
      <x:c r="M17" s="30" t="str">
        <x:v>通过</x:v>
      </x:c>
      <x:c r="N17" s="30" t="str">
        <x:v>通过</x:v>
      </x:c>
      <x:c r="O17" s="30" t="str"/>
    </x:row>
    <x:row r="18" ht="54" customHeight="1">
      <x:c r="A18" s="30" t="str">
        <x:v>TC-014</x:v>
      </x:c>
      <x:c r="B18" s="30" t="str">
        <x:v>Tool Calling</x:v>
      </x:c>
      <x:c r="C18" s="30" t="str">
        <x:v>字段兼容</x:v>
      </x:c>
      <x:c r="D18" s="30" t="str">
        <x:v>后端字段不一致时前端兜底分析</x:v>
      </x:c>
      <x:c r="E18" s="30" t="str">
        <x:v>模拟接口返回字段缺失或不规范</x:v>
      </x:c>
      <x:c r="F18" s="30" t="str">
        <x:v>点击“先分析内容”</x:v>
      </x:c>
      <x:c r="G18" s="30" t="str">
        <x:v>返回空字段或异常字段</x:v>
      </x:c>
      <x:c r="H18" s="30" t="str">
        <x:v>前端使用兜底规则，不显示全部“未识别”</x:v>
      </x:c>
      <x:c r="I18" s="30" t="str">
        <x:v>与预期一致</x:v>
      </x:c>
      <x:c r="J18" s="30" t="str">
        <x:v>P1</x:v>
      </x:c>
      <x:c r="K18" s="30" t="str">
        <x:v>中</x:v>
      </x:c>
      <x:c r="L18" s="30" t="str">
        <x:v>异常/回归</x:v>
      </x:c>
      <x:c r="M18" s="30" t="str">
        <x:v>通过</x:v>
      </x:c>
      <x:c r="N18" s="30" t="str">
        <x:v>通过</x:v>
      </x:c>
      <x:c r="O18" s="30" t="str"/>
    </x:row>
    <x:row r="19" ht="54" customHeight="1">
      <x:c r="A19" s="30" t="str">
        <x:v>TC-015</x:v>
      </x:c>
      <x:c r="B19" s="30" t="str">
        <x:v>内容生产</x:v>
      </x:c>
      <x:c r="C19" s="30" t="str">
        <x:v>直接生成</x:v>
      </x:c>
      <x:c r="D19" s="30" t="str">
        <x:v>直接生成剧本方案</x:v>
      </x:c>
      <x:c r="E19" s="30" t="str">
        <x:v>完成内容分析或未分析</x:v>
      </x:c>
      <x:c r="F19" s="30" t="str">
        <x:v>点击“直接生成剧本方案”</x:v>
      </x:c>
      <x:c r="G19" s="30" t="str">
        <x:v>题材=追妻火葬场；平台=短视频漫剧</x:v>
      </x:c>
      <x:c r="H19" s="30" t="str">
        <x:v>生成包含故事简介、人物设定、核心冲突、分集大纲、关键对白、标题标签和运营建议的方案</x:v>
      </x:c>
      <x:c r="I19" s="30" t="str">
        <x:v>与预期一致</x:v>
      </x:c>
      <x:c r="J19" s="30" t="str">
        <x:v>P0</x:v>
      </x:c>
      <x:c r="K19" s="30" t="str">
        <x:v>高</x:v>
      </x:c>
      <x:c r="L19" s="30" t="str">
        <x:v>功能/AI</x:v>
      </x:c>
      <x:c r="M19" s="30" t="str">
        <x:v>通过</x:v>
      </x:c>
      <x:c r="N19" s="30" t="str">
        <x:v>通过</x:v>
      </x:c>
      <x:c r="O19" s="30" t="str"/>
    </x:row>
    <x:row r="20" ht="54" customHeight="1">
      <x:c r="A20" s="30" t="str">
        <x:v>TC-016</x:v>
      </x:c>
      <x:c r="B20" s="30" t="str">
        <x:v>内容生产</x:v>
      </x:c>
      <x:c r="C20" s="30" t="str">
        <x:v>空输入校验</x:v>
      </x:c>
      <x:c r="D20" s="30" t="str">
        <x:v>无需求时直接生成拦截</x:v>
      </x:c>
      <x:c r="E20" s="30" t="str">
        <x:v>直接生成页</x:v>
      </x:c>
      <x:c r="F20" s="30" t="str">
        <x:v>清空具体需求且无圆桌总结，点击生成</x:v>
      </x:c>
      <x:c r="G20" s="30" t="str">
        <x:v>空需求</x:v>
      </x:c>
      <x:c r="H20" s="30" t="str">
        <x:v>系统提示请输入具体需求或先通过圆桌带入总结</x:v>
      </x:c>
      <x:c r="I20" s="30" t="str">
        <x:v>与预期一致</x:v>
      </x:c>
      <x:c r="J20" s="30" t="str">
        <x:v>P1</x:v>
      </x:c>
      <x:c r="K20" s="30" t="str">
        <x:v>中</x:v>
      </x:c>
      <x:c r="L20" s="30" t="str">
        <x:v>异常</x:v>
      </x:c>
      <x:c r="M20" s="30" t="str">
        <x:v>通过</x:v>
      </x:c>
      <x:c r="N20" s="30" t="str">
        <x:v>通过</x:v>
      </x:c>
      <x:c r="O20" s="30" t="str"/>
    </x:row>
    <x:row r="21" ht="54" customHeight="1">
      <x:c r="A21" s="30" t="str">
        <x:v>TC-017</x:v>
      </x:c>
      <x:c r="B21" s="30" t="str">
        <x:v>多 Agent 圆桌</x:v>
      </x:c>
      <x:c r="C21" s="30" t="str">
        <x:v>页面展示</x:v>
      </x:c>
      <x:c r="D21" s="30" t="str">
        <x:v>圆桌页展示 Agent 卡片</x:v>
      </x:c>
      <x:c r="E21" s="30" t="str">
        <x:v>进入多 Agent 协助生成页</x:v>
      </x:c>
      <x:c r="F21" s="30" t="str">
        <x:v>查看 Agent 列表</x:v>
      </x:c>
      <x:c r="G21" s="30" t="str">
        <x:v>无</x:v>
      </x:c>
      <x:c r="H21" s="30" t="str">
        <x:v>展示 16 型人格 Agent 卡片，含名称、图标、角色描述和性别选项</x:v>
      </x:c>
      <x:c r="I21" s="30" t="str">
        <x:v>与预期一致</x:v>
      </x:c>
      <x:c r="J21" s="30" t="str">
        <x:v>P0</x:v>
      </x:c>
      <x:c r="K21" s="30" t="str">
        <x:v>高</x:v>
      </x:c>
      <x:c r="L21" s="30" t="str">
        <x:v>UI/功能</x:v>
      </x:c>
      <x:c r="M21" s="30" t="str">
        <x:v>通过</x:v>
      </x:c>
      <x:c r="N21" s="30" t="str">
        <x:v>通过</x:v>
      </x:c>
      <x:c r="O21" s="30" t="str"/>
    </x:row>
    <x:row r="22" ht="54" customHeight="1">
      <x:c r="A22" s="30" t="str">
        <x:v>TC-018</x:v>
      </x:c>
      <x:c r="B22" s="30" t="str">
        <x:v>多 Agent 圆桌</x:v>
      </x:c>
      <x:c r="C22" s="30" t="str">
        <x:v>默认选择</x:v>
      </x:c>
      <x:c r="D22" s="30" t="str">
        <x:v>默认选中 4 个 Agent</x:v>
      </x:c>
      <x:c r="E22" s="30" t="str">
        <x:v>进入圆桌页</x:v>
      </x:c>
      <x:c r="F22" s="30" t="str">
        <x:v>查看右上角已选数量</x:v>
      </x:c>
      <x:c r="G22" s="30" t="str">
        <x:v>无</x:v>
      </x:c>
      <x:c r="H22" s="30" t="str">
        <x:v>默认已选 4/4，页面显示选中状态</x:v>
      </x:c>
      <x:c r="I22" s="30" t="str">
        <x:v>与预期一致</x:v>
      </x:c>
      <x:c r="J22" s="30" t="str">
        <x:v>P2</x:v>
      </x:c>
      <x:c r="K22" s="30" t="str">
        <x:v>低</x:v>
      </x:c>
      <x:c r="L22" s="30" t="str">
        <x:v>UI</x:v>
      </x:c>
      <x:c r="M22" s="30" t="str">
        <x:v>通过</x:v>
      </x:c>
      <x:c r="N22" s="30" t="str">
        <x:v>通过</x:v>
      </x:c>
      <x:c r="O22" s="30" t="str"/>
    </x:row>
    <x:row r="23" ht="54" customHeight="1">
      <x:c r="A23" s="30" t="str">
        <x:v>TC-019</x:v>
      </x:c>
      <x:c r="B23" s="30" t="str">
        <x:v>多 Agent 圆桌</x:v>
      </x:c>
      <x:c r="C23" s="30" t="str">
        <x:v>数量上限</x:v>
      </x:c>
      <x:c r="D23" s="30" t="str">
        <x:v>最多选择 4 个 Agent</x:v>
      </x:c>
      <x:c r="E23" s="30" t="str">
        <x:v>圆桌页</x:v>
      </x:c>
      <x:c r="F23" s="30" t="str">
        <x:v>在已选 4 个基础上继续选择其他 Agent</x:v>
      </x:c>
      <x:c r="G23" s="30" t="str">
        <x:v>第 5 个 Agent</x:v>
      </x:c>
      <x:c r="H23" s="30" t="str">
        <x:v>系统提示最多选择 4 个 Agent，不新增选中</x:v>
      </x:c>
      <x:c r="I23" s="30" t="str">
        <x:v>与预期一致</x:v>
      </x:c>
      <x:c r="J23" s="30" t="str">
        <x:v>P0</x:v>
      </x:c>
      <x:c r="K23" s="30" t="str">
        <x:v>高</x:v>
      </x:c>
      <x:c r="L23" s="30" t="str">
        <x:v>边界/异常</x:v>
      </x:c>
      <x:c r="M23" s="30" t="str">
        <x:v>通过</x:v>
      </x:c>
      <x:c r="N23" s="30" t="str">
        <x:v>通过</x:v>
      </x:c>
      <x:c r="O23" s="30" t="str"/>
    </x:row>
    <x:row r="24" ht="54" customHeight="1">
      <x:c r="A24" s="30" t="str">
        <x:v>TC-020</x:v>
      </x:c>
      <x:c r="B24" s="30" t="str">
        <x:v>多 Agent 圆桌</x:v>
      </x:c>
      <x:c r="C24" s="30" t="str">
        <x:v>数量下限</x:v>
      </x:c>
      <x:c r="D24" s="30" t="str">
        <x:v>少于 2 个 Agent 不允许开始圆桌</x:v>
      </x:c>
      <x:c r="E24" s="30" t="str">
        <x:v>圆桌页</x:v>
      </x:c>
      <x:c r="F24" s="30" t="str">
        <x:v>取消到只剩 1 个 Agent，点击开始圆桌讨论</x:v>
      </x:c>
      <x:c r="G24" s="30" t="str">
        <x:v>1 个 Agent</x:v>
      </x:c>
      <x:c r="H24" s="30" t="str">
        <x:v>系统提示至少选择 2 个 Agent</x:v>
      </x:c>
      <x:c r="I24" s="30" t="str">
        <x:v>与预期一致</x:v>
      </x:c>
      <x:c r="J24" s="30" t="str">
        <x:v>P0</x:v>
      </x:c>
      <x:c r="K24" s="30" t="str">
        <x:v>高</x:v>
      </x:c>
      <x:c r="L24" s="30" t="str">
        <x:v>边界/异常</x:v>
      </x:c>
      <x:c r="M24" s="30" t="str">
        <x:v>通过</x:v>
      </x:c>
      <x:c r="N24" s="30" t="str">
        <x:v>通过</x:v>
      </x:c>
      <x:c r="O24" s="30" t="str"/>
    </x:row>
    <x:row r="25" ht="54" customHeight="1">
      <x:c r="A25" s="30" t="str">
        <x:v>TC-021</x:v>
      </x:c>
      <x:c r="B25" s="30" t="str">
        <x:v>多 Agent 圆桌</x:v>
      </x:c>
      <x:c r="C25" s="30" t="str">
        <x:v>性别设定</x:v>
      </x:c>
      <x:c r="D25" s="30" t="str">
        <x:v>Agent 性别设定可切换</x:v>
      </x:c>
      <x:c r="E25" s="30" t="str">
        <x:v>圆桌页</x:v>
      </x:c>
      <x:c r="F25" s="30" t="str">
        <x:v>点击 Agent 卡片的 不限/男/女</x:v>
      </x:c>
      <x:c r="G25" s="30" t="str">
        <x:v>INTJ 设置为男，INFP 设置为女</x:v>
      </x:c>
      <x:c r="H25" s="30" t="str">
        <x:v>按钮选中状态更新，Prompt 中带入对应性别设定</x:v>
      </x:c>
      <x:c r="I25" s="30" t="str">
        <x:v>与预期一致</x:v>
      </x:c>
      <x:c r="J25" s="30" t="str">
        <x:v>P1</x:v>
      </x:c>
      <x:c r="K25" s="30" t="str">
        <x:v>中</x:v>
      </x:c>
      <x:c r="L25" s="30" t="str">
        <x:v>功能</x:v>
      </x:c>
      <x:c r="M25" s="30" t="str">
        <x:v>通过</x:v>
      </x:c>
      <x:c r="N25" s="30" t="str">
        <x:v>通过</x:v>
      </x:c>
      <x:c r="O25" s="30" t="str"/>
    </x:row>
    <x:row r="26" ht="54" customHeight="1">
      <x:c r="A26" s="30" t="str">
        <x:v>TC-022</x:v>
      </x:c>
      <x:c r="B26" s="30" t="str">
        <x:v>多 Agent 圆桌</x:v>
      </x:c>
      <x:c r="C26" s="30" t="str">
        <x:v>发起讨论</x:v>
      </x:c>
      <x:c r="D26" s="30" t="str">
        <x:v>2-4 个 Agent 依次发言</x:v>
      </x:c>
      <x:c r="E26" s="30" t="str">
        <x:v>已选择 2-4 个 Agent，填写议题</x:v>
      </x:c>
      <x:c r="F26" s="30" t="str">
        <x:v>点击开始圆桌讨论</x:v>
      </x:c>
      <x:c r="G26" s="30" t="str">
        <x:v>追妻火葬场漫剧议题</x:v>
      </x:c>
      <x:c r="H26" s="30" t="str">
        <x:v>每个被选 Agent 至少生成一段发言</x:v>
      </x:c>
      <x:c r="I26" s="30" t="str">
        <x:v>与预期一致</x:v>
      </x:c>
      <x:c r="J26" s="30" t="str">
        <x:v>P0</x:v>
      </x:c>
      <x:c r="K26" s="30" t="str">
        <x:v>高</x:v>
      </x:c>
      <x:c r="L26" s="30" t="str">
        <x:v>功能/AI</x:v>
      </x:c>
      <x:c r="M26" s="30" t="str">
        <x:v>通过</x:v>
      </x:c>
      <x:c r="N26" s="30" t="str">
        <x:v>通过</x:v>
      </x:c>
      <x:c r="O26" s="30" t="str"/>
    </x:row>
    <x:row r="27" ht="54" customHeight="1">
      <x:c r="A27" s="30" t="str">
        <x:v>TC-023</x:v>
      </x:c>
      <x:c r="B27" s="30" t="str">
        <x:v>多 Agent 圆桌</x:v>
      </x:c>
      <x:c r="C27" s="30" t="str">
        <x:v>发言差异</x:v>
      </x:c>
      <x:c r="D27" s="30" t="str">
        <x:v>不同 Agent 回复视角不同</x:v>
      </x:c>
      <x:c r="E27" s="30" t="str">
        <x:v>完成圆桌讨论</x:v>
      </x:c>
      <x:c r="F27" s="30" t="str">
        <x:v>观察 INTJ、INFP、ENTP、ESTJ 发言</x:v>
      </x:c>
      <x:c r="G27" s="30" t="str">
        <x:v>同一议题</x:v>
      </x:c>
      <x:c r="H27" s="30" t="str">
        <x:v>发言体现结构、共情、创意、执行等差异，避免简单重复</x:v>
      </x:c>
      <x:c r="I27" s="30" t="str">
        <x:v>与预期一致</x:v>
      </x:c>
      <x:c r="J27" s="30" t="str">
        <x:v>P1</x:v>
      </x:c>
      <x:c r="K27" s="30" t="str">
        <x:v>中</x:v>
      </x:c>
      <x:c r="L27" s="30" t="str">
        <x:v>AI专项</x:v>
      </x:c>
      <x:c r="M27" s="30" t="str">
        <x:v>通过</x:v>
      </x:c>
      <x:c r="N27" s="30" t="str">
        <x:v>通过</x:v>
      </x:c>
      <x:c r="O27" s="30" t="str"/>
    </x:row>
    <x:row r="28" ht="54" customHeight="1">
      <x:c r="A28" s="30" t="str">
        <x:v>TC-024</x:v>
      </x:c>
      <x:c r="B28" s="30" t="str">
        <x:v>多 Agent 圆桌</x:v>
      </x:c>
      <x:c r="C28" s="30" t="str">
        <x:v>圆桌总结</x:v>
      </x:c>
      <x:c r="D28" s="30" t="str">
        <x:v>生成圆桌总结</x:v>
      </x:c>
      <x:c r="E28" s="30" t="str">
        <x:v>圆桌讨论完成</x:v>
      </x:c>
      <x:c r="F28" s="30" t="str">
        <x:v>查看总结区域</x:v>
      </x:c>
      <x:c r="G28" s="30" t="str">
        <x:v>Agent 发言列表</x:v>
      </x:c>
      <x:c r="H28" s="30" t="str">
        <x:v>生成综合总结，能提炼多 Agent 核心观点</x:v>
      </x:c>
      <x:c r="I28" s="30" t="str">
        <x:v>与预期一致</x:v>
      </x:c>
      <x:c r="J28" s="30" t="str">
        <x:v>P0</x:v>
      </x:c>
      <x:c r="K28" s="30" t="str">
        <x:v>高</x:v>
      </x:c>
      <x:c r="L28" s="30" t="str">
        <x:v>功能/AI</x:v>
      </x:c>
      <x:c r="M28" s="30" t="str">
        <x:v>通过</x:v>
      </x:c>
      <x:c r="N28" s="30" t="str">
        <x:v>通过</x:v>
      </x:c>
      <x:c r="O28" s="30" t="str"/>
    </x:row>
    <x:row r="29" ht="54" customHeight="1">
      <x:c r="A29" s="30" t="str">
        <x:v>TC-025</x:v>
      </x:c>
      <x:c r="B29" s="30" t="str">
        <x:v>圆桌带入</x:v>
      </x:c>
      <x:c r="C29" s="30" t="str">
        <x:v>带入剧本生成</x:v>
      </x:c>
      <x:c r="D29" s="30" t="str">
        <x:v>圆桌总结一键带入内容生成</x:v>
      </x:c>
      <x:c r="E29" s="30" t="str">
        <x:v>已有圆桌总结</x:v>
      </x:c>
      <x:c r="F29" s="30" t="str">
        <x:v>点击“带入剧本生成”</x:v>
      </x:c>
      <x:c r="G29" s="30" t="str">
        <x:v>圆桌总结文本</x:v>
      </x:c>
      <x:c r="H29" s="30" t="str">
        <x:v>自动跳转到直接生成页，展示“已带入多 Agent 圆桌总结”区域</x:v>
      </x:c>
      <x:c r="I29" s="30" t="str">
        <x:v>与预期一致</x:v>
      </x:c>
      <x:c r="J29" s="30" t="str">
        <x:v>P0</x:v>
      </x:c>
      <x:c r="K29" s="30" t="str">
        <x:v>高</x:v>
      </x:c>
      <x:c r="L29" s="30" t="str">
        <x:v>功能/回归</x:v>
      </x:c>
      <x:c r="M29" s="30" t="str">
        <x:v>通过</x:v>
      </x:c>
      <x:c r="N29" s="30" t="str">
        <x:v>通过</x:v>
      </x:c>
      <x:c r="O29" s="30" t="str"/>
    </x:row>
    <x:row r="30" ht="54" customHeight="1">
      <x:c r="A30" s="30" t="str">
        <x:v>TC-026</x:v>
      </x:c>
      <x:c r="B30" s="30" t="str">
        <x:v>圆桌带入</x:v>
      </x:c>
      <x:c r="C30" s="30" t="str">
        <x:v>清空旧分析结果</x:v>
      </x:c>
      <x:c r="D30" s="30" t="str">
        <x:v>圆桌带入后重新 Tool Calling 分析</x:v>
      </x:c>
      <x:c r="E30" s="30" t="str">
        <x:v>先执行一次直接分析，再圆桌带入</x:v>
      </x:c>
      <x:c r="F30" s="30" t="str">
        <x:v>点击生成最终方案</x:v>
      </x:c>
      <x:c r="G30" s="30" t="str">
        <x:v>原始需求 + 圆桌总结</x:v>
      </x:c>
      <x:c r="H30" s="30" t="str">
        <x:v>旧 Tool Calling 结果被清空，重新分析新内容</x:v>
      </x:c>
      <x:c r="I30" s="30" t="str">
        <x:v>与预期一致</x:v>
      </x:c>
      <x:c r="J30" s="30" t="str">
        <x:v>P1</x:v>
      </x:c>
      <x:c r="K30" s="30" t="str">
        <x:v>中</x:v>
      </x:c>
      <x:c r="L30" s="30" t="str">
        <x:v>回归/AI</x:v>
      </x:c>
      <x:c r="M30" s="30" t="str">
        <x:v>通过</x:v>
      </x:c>
      <x:c r="N30" s="30" t="str">
        <x:v>通过</x:v>
      </x:c>
      <x:c r="O30" s="30" t="str"/>
    </x:row>
    <x:row r="31" ht="54" customHeight="1">
      <x:c r="A31" s="30" t="str">
        <x:v>TC-027</x:v>
      </x:c>
      <x:c r="B31" s="30" t="str">
        <x:v>圆桌带入</x:v>
      </x:c>
      <x:c r="C31" s="30" t="str">
        <x:v>最终方案差异</x:v>
      </x:c>
      <x:c r="D31" s="30" t="str">
        <x:v>圆桌方案区别于直接生成</x:v>
      </x:c>
      <x:c r="E31" s="30" t="str">
        <x:v>先完成圆桌总结带入</x:v>
      </x:c>
      <x:c r="F31" s="30" t="str">
        <x:v>点击基于圆桌总结生成最终方案</x:v>
      </x:c>
      <x:c r="G31" s="30" t="str">
        <x:v>圆桌总结存在</x:v>
      </x:c>
      <x:c r="H31" s="30" t="str">
        <x:v>结果包含圆桌讨论结论、观点采纳情况、最终剧本方案和影响说明</x:v>
      </x:c>
      <x:c r="I31" s="30" t="str">
        <x:v>与预期一致</x:v>
      </x:c>
      <x:c r="J31" s="30" t="str">
        <x:v>P0</x:v>
      </x:c>
      <x:c r="K31" s="30" t="str">
        <x:v>高</x:v>
      </x:c>
      <x:c r="L31" s="30" t="str">
        <x:v>AI专项</x:v>
      </x:c>
      <x:c r="M31" s="30" t="str">
        <x:v>通过</x:v>
      </x:c>
      <x:c r="N31" s="30" t="str">
        <x:v>通过</x:v>
      </x:c>
      <x:c r="O31" s="30" t="str"/>
    </x:row>
    <x:row r="32" ht="54" customHeight="1">
      <x:c r="A32" s="30" t="str">
        <x:v>TC-028</x:v>
      </x:c>
      <x:c r="B32" s="30" t="str">
        <x:v>自定义 Agent</x:v>
      </x:c>
      <x:c r="C32" s="30" t="str">
        <x:v>展开编辑器</x:v>
      </x:c>
      <x:c r="D32" s="30" t="str">
        <x:v>点击新建人格/角色</x:v>
      </x:c>
      <x:c r="E32" s="30" t="str">
        <x:v>进入圆桌页</x:v>
      </x:c>
      <x:c r="F32" s="30" t="str">
        <x:v>点击“+ 新建人格 / 角色”</x:v>
      </x:c>
      <x:c r="G32" s="30" t="str">
        <x:v>无</x:v>
      </x:c>
      <x:c r="H32" s="30" t="str">
        <x:v>展开自定义 Agent 表单</x:v>
      </x:c>
      <x:c r="I32" s="30" t="str">
        <x:v>与预期一致</x:v>
      </x:c>
      <x:c r="J32" s="30" t="str">
        <x:v>P1</x:v>
      </x:c>
      <x:c r="K32" s="30" t="str">
        <x:v>中</x:v>
      </x:c>
      <x:c r="L32" s="30" t="str">
        <x:v>UI/功能</x:v>
      </x:c>
      <x:c r="M32" s="30" t="str">
        <x:v>通过</x:v>
      </x:c>
      <x:c r="N32" s="30" t="str">
        <x:v>通过</x:v>
      </x:c>
      <x:c r="O32" s="30" t="str"/>
    </x:row>
    <x:row r="33" ht="54" customHeight="1">
      <x:c r="A33" s="30" t="str">
        <x:v>TC-029</x:v>
      </x:c>
      <x:c r="B33" s="30" t="str">
        <x:v>自定义 Agent</x:v>
      </x:c>
      <x:c r="C33" s="30" t="str">
        <x:v>创建自定义 Agent</x:v>
      </x:c>
      <x:c r="D33" s="30" t="str">
        <x:v>自定义表单已展开</x:v>
      </x:c>
      <x:c r="E33" s="30" t="str">
        <x:v>填写角色名称、参考人格、性别、头像、角色设定并保存</x:v>
      </x:c>
      <x:c r="F33" s="30" t="str">
        <x:v>毒舌女编剧 / ENTP / 女 / 🎭</x:v>
      </x:c>
      <x:c r="G33" s="30" t="str">
        <x:v>自定义 Agent 保存成功并自动加入圆桌</x:v>
      </x:c>
      <x:c r="H33" s="30" t="str">
        <x:v>与预期一致</x:v>
      </x:c>
      <x:c r="I33" s="30" t="str">
        <x:v>P0</x:v>
      </x:c>
      <x:c r="J33" s="30" t="str">
        <x:v>高</x:v>
      </x:c>
      <x:c r="K33" s="30" t="str">
        <x:v>功能</x:v>
      </x:c>
      <x:c r="L33" s="30" t="str">
        <x:v>通过</x:v>
      </x:c>
      <x:c r="M33" s="30" t="str">
        <x:v>通过</x:v>
      </x:c>
      <x:c r="N33" s="30" t="str"/>
      <x:c r="O33" s="30"/>
    </x:row>
    <x:row r="34" ht="54" customHeight="1">
      <x:c r="A34" s="30" t="str">
        <x:v>TC-030</x:v>
      </x:c>
      <x:c r="B34" s="30" t="str">
        <x:v>自定义 Agent</x:v>
      </x:c>
      <x:c r="C34" s="30" t="str">
        <x:v>必填校验</x:v>
      </x:c>
      <x:c r="D34" s="30" t="str">
        <x:v>缺少角色名称或角色设定</x:v>
      </x:c>
      <x:c r="E34" s="30" t="str">
        <x:v>展开自定义表单</x:v>
      </x:c>
      <x:c r="F34" s="30" t="str">
        <x:v>不填角色名称或角色设定，点击保存</x:v>
      </x:c>
      <x:c r="G34" s="30" t="str">
        <x:v>空名称或空设定</x:v>
      </x:c>
      <x:c r="H34" s="30" t="str">
        <x:v>系统提示必须填写相关字段</x:v>
      </x:c>
      <x:c r="I34" s="30" t="str">
        <x:v>与预期一致</x:v>
      </x:c>
      <x:c r="J34" s="30" t="str">
        <x:v>P1</x:v>
      </x:c>
      <x:c r="K34" s="30" t="str">
        <x:v>中</x:v>
      </x:c>
      <x:c r="L34" s="30" t="str">
        <x:v>异常</x:v>
      </x:c>
      <x:c r="M34" s="30" t="str">
        <x:v>通过</x:v>
      </x:c>
      <x:c r="N34" s="30" t="str">
        <x:v>通过</x:v>
      </x:c>
      <x:c r="O34" s="30" t="str"/>
    </x:row>
    <x:row r="35" ht="54" customHeight="1">
      <x:c r="A35" s="30" t="str">
        <x:v>TC-031</x:v>
      </x:c>
      <x:c r="B35" s="30" t="str">
        <x:v>自定义 Agent</x:v>
      </x:c>
      <x:c r="C35" s="30" t="str">
        <x:v>删除自定义 Agent</x:v>
      </x:c>
      <x:c r="D35" s="30" t="str">
        <x:v>已有自定义 Agent</x:v>
      </x:c>
      <x:c r="E35" s="30" t="str">
        <x:v>点击自定义 Agent 卡片上的删除</x:v>
      </x:c>
      <x:c r="F35" s="30" t="str">
        <x:v>自定义 Agent code</x:v>
      </x:c>
      <x:c r="G35" s="30" t="str">
        <x:v>Agent 从列表移除，已选列表同步移除</x:v>
      </x:c>
      <x:c r="H35" s="30" t="str">
        <x:v>与预期一致</x:v>
      </x:c>
      <x:c r="I35" s="30" t="str">
        <x:v>P1</x:v>
      </x:c>
      <x:c r="J35" s="30" t="str">
        <x:v>中</x:v>
      </x:c>
      <x:c r="K35" s="30" t="str">
        <x:v>功能/回归</x:v>
      </x:c>
      <x:c r="L35" s="30" t="str">
        <x:v>通过</x:v>
      </x:c>
      <x:c r="M35" s="30" t="str">
        <x:v>通过</x:v>
      </x:c>
      <x:c r="N35" s="30" t="str"/>
      <x:c r="O35" s="30"/>
    </x:row>
    <x:row r="36" ht="54" customHeight="1">
      <x:c r="A36" s="30" t="str">
        <x:v>TC-032</x:v>
      </x:c>
      <x:c r="B36" s="30" t="str">
        <x:v>RAG 知识库</x:v>
      </x:c>
      <x:c r="C36" s="30" t="str">
        <x:v>进入知识库页</x:v>
      </x:c>
      <x:c r="D36" s="30" t="str">
        <x:v>已登录</x:v>
      </x:c>
      <x:c r="E36" s="30" t="str">
        <x:v>点击底部导航“知识库”</x:v>
      </x:c>
      <x:c r="F36" s="30" t="str">
        <x:v>无</x:v>
      </x:c>
      <x:c r="G36" s="30" t="str">
        <x:v>进入 Agent 内容知识库页面</x:v>
      </x:c>
      <x:c r="H36" s="30" t="str">
        <x:v>与预期一致</x:v>
      </x:c>
      <x:c r="I36" s="30" t="str">
        <x:v>P1</x:v>
      </x:c>
      <x:c r="J36" s="30" t="str">
        <x:v>中</x:v>
      </x:c>
      <x:c r="K36" s="30" t="str">
        <x:v>页面导航</x:v>
      </x:c>
      <x:c r="L36" s="30" t="str">
        <x:v>通过</x:v>
      </x:c>
      <x:c r="M36" s="30" t="str">
        <x:v>通过</x:v>
      </x:c>
      <x:c r="N36" s="30" t="str"/>
      <x:c r="O36" s="30"/>
    </x:row>
    <x:row r="37" ht="54" customHeight="1">
      <x:c r="A37" s="30" t="str">
        <x:v>TC-033</x:v>
      </x:c>
      <x:c r="B37" s="30" t="str">
        <x:v>RAG 知识库</x:v>
      </x:c>
      <x:c r="C37" s="30" t="str">
        <x:v>知识库问答</x:v>
      </x:c>
      <x:c r="D37" s="30" t="str">
        <x:v>进入知识库页</x:v>
      </x:c>
      <x:c r="E37" s="30" t="str">
        <x:v>输入问题并点击 RAG 生成回答</x:v>
      </x:c>
      <x:c r="F37" s="30" t="str">
        <x:v>追妻火葬场题材怎么设计强冲突开场？</x:v>
      </x:c>
      <x:c r="G37" s="30" t="str">
        <x:v>返回知识增强回答，内容与问题相关</x:v>
      </x:c>
      <x:c r="H37" s="30" t="str">
        <x:v>与预期一致</x:v>
      </x:c>
      <x:c r="I37" s="30" t="str">
        <x:v>P0</x:v>
      </x:c>
      <x:c r="J37" s="30" t="str">
        <x:v>高</x:v>
      </x:c>
      <x:c r="K37" s="30" t="str">
        <x:v>功能/AI</x:v>
      </x:c>
      <x:c r="L37" s="30" t="str">
        <x:v>通过</x:v>
      </x:c>
      <x:c r="M37" s="30" t="str">
        <x:v>通过</x:v>
      </x:c>
      <x:c r="N37" s="30" t="str"/>
      <x:c r="O37" s="30"/>
    </x:row>
    <x:row r="38" ht="54" customHeight="1">
      <x:c r="A38" s="30" t="str">
        <x:v>TC-034</x:v>
      </x:c>
      <x:c r="B38" s="30" t="str">
        <x:v>RAG 知识库</x:v>
      </x:c>
      <x:c r="C38" s="30" t="str">
        <x:v>命中片段展示</x:v>
      </x:c>
      <x:c r="D38" s="30" t="str">
        <x:v>完成 RAG 问答</x:v>
      </x:c>
      <x:c r="E38" s="30" t="str">
        <x:v>查看命中知识片段区域</x:v>
      </x:c>
      <x:c r="F38" s="30" t="str">
        <x:v>topK=5</x:v>
      </x:c>
      <x:c r="G38" s="30" t="str">
        <x:v>展示相关知识片段标题和内容</x:v>
      </x:c>
      <x:c r="H38" s="30" t="str">
        <x:v>与预期一致</x:v>
      </x:c>
      <x:c r="I38" s="30" t="str">
        <x:v>P1</x:v>
      </x:c>
      <x:c r="J38" s="30" t="str">
        <x:v>中</x:v>
      </x:c>
      <x:c r="K38" s="30" t="str">
        <x:v>功能</x:v>
      </x:c>
      <x:c r="L38" s="30" t="str">
        <x:v>通过</x:v>
      </x:c>
      <x:c r="M38" s="30" t="str">
        <x:v>通过</x:v>
      </x:c>
      <x:c r="N38" s="30" t="str"/>
      <x:c r="O38" s="30"/>
    </x:row>
    <x:row r="39" ht="54" customHeight="1">
      <x:c r="A39" s="30" t="str">
        <x:v>TC-035</x:v>
      </x:c>
      <x:c r="B39" s="30" t="str">
        <x:v>RAG 存档</x:v>
      </x:c>
      <x:c r="C39" s="30" t="str">
        <x:v>存档当前问答</x:v>
      </x:c>
      <x:c r="D39" s="30" t="str">
        <x:v>已生成 RAG 回答</x:v>
      </x:c>
      <x:c r="E39" s="30" t="str">
        <x:v>点击存档当前问答</x:v>
      </x:c>
      <x:c r="F39" s="30" t="str">
        <x:v>当前问题和回答</x:v>
      </x:c>
      <x:c r="G39" s="30" t="str">
        <x:v>存档列表新增记录，包含问题、回答和时间</x:v>
      </x:c>
      <x:c r="H39" s="30" t="str">
        <x:v>与预期一致</x:v>
      </x:c>
      <x:c r="I39" s="30" t="str">
        <x:v>P1</x:v>
      </x:c>
      <x:c r="J39" s="30" t="str">
        <x:v>中</x:v>
      </x:c>
      <x:c r="K39" s="30" t="str">
        <x:v>功能</x:v>
      </x:c>
      <x:c r="L39" s="30" t="str">
        <x:v>通过</x:v>
      </x:c>
      <x:c r="M39" s="30" t="str">
        <x:v>通过</x:v>
      </x:c>
      <x:c r="N39" s="30" t="str"/>
      <x:c r="O39" s="30"/>
    </x:row>
    <x:row r="40" ht="54" customHeight="1">
      <x:c r="A40" s="30" t="str">
        <x:v>TC-036</x:v>
      </x:c>
      <x:c r="B40" s="30" t="str">
        <x:v>RAG 存档</x:v>
      </x:c>
      <x:c r="C40" s="30" t="str">
        <x:v>删除存档</x:v>
      </x:c>
      <x:c r="D40" s="30" t="str">
        <x:v>已有 RAG 存档</x:v>
      </x:c>
      <x:c r="E40" s="30" t="str">
        <x:v>点击存档卡片删除按钮</x:v>
      </x:c>
      <x:c r="F40" s="30" t="str">
        <x:v>存档 id</x:v>
      </x:c>
      <x:c r="G40" s="30" t="str">
        <x:v>对应存档从列表移除</x:v>
      </x:c>
      <x:c r="H40" s="30" t="str">
        <x:v>与预期一致</x:v>
      </x:c>
      <x:c r="I40" s="30" t="str">
        <x:v>P1</x:v>
      </x:c>
      <x:c r="J40" s="30" t="str">
        <x:v>中</x:v>
      </x:c>
      <x:c r="K40" s="30" t="str">
        <x:v>功能</x:v>
      </x:c>
      <x:c r="L40" s="30" t="str">
        <x:v>通过</x:v>
      </x:c>
      <x:c r="M40" s="30" t="str">
        <x:v>通过</x:v>
      </x:c>
      <x:c r="N40" s="30" t="str"/>
      <x:c r="O40" s="30"/>
    </x:row>
    <x:row r="41" ht="54" customHeight="1">
      <x:c r="A41" s="30" t="str">
        <x:v>TC-037</x:v>
      </x:c>
      <x:c r="B41" s="30" t="str">
        <x:v>账号隔离</x:v>
      </x:c>
      <x:c r="C41" s="30" t="str">
        <x:v>RAG 存档隔离</x:v>
      </x:c>
      <x:c r="D41" s="30" t="str">
        <x:v>存在两个账号</x:v>
      </x:c>
      <x:c r="E41" s="30" t="str">
        <x:v>账号 A 存档，退出后账号 B 登录查看</x:v>
      </x:c>
      <x:c r="F41" s="30" t="str">
        <x:v>A/B 两个账号</x:v>
      </x:c>
      <x:c r="G41" s="30" t="str">
        <x:v>账号 B 不显示账号 A 的本地存档</x:v>
      </x:c>
      <x:c r="H41" s="30" t="str">
        <x:v>与预期一致</x:v>
      </x:c>
      <x:c r="I41" s="30" t="str">
        <x:v>P0</x:v>
      </x:c>
      <x:c r="J41" s="30" t="str">
        <x:v>高</x:v>
      </x:c>
      <x:c r="K41" s="30" t="str">
        <x:v>安全/回归</x:v>
      </x:c>
      <x:c r="L41" s="30" t="str">
        <x:v>通过</x:v>
      </x:c>
      <x:c r="M41" s="30" t="str">
        <x:v>通过</x:v>
      </x:c>
      <x:c r="N41" s="30" t="str"/>
      <x:c r="O41" s="30"/>
    </x:row>
    <x:row r="42" ht="54" customHeight="1">
      <x:c r="A42" s="30" t="str">
        <x:v>TC-038</x:v>
      </x:c>
      <x:c r="B42" s="30" t="str">
        <x:v>账号隔离</x:v>
      </x:c>
      <x:c r="C42" s="30" t="str">
        <x:v>圆桌历史隔离</x:v>
      </x:c>
      <x:c r="D42" s="30" t="str">
        <x:v>存在两个账号</x:v>
      </x:c>
      <x:c r="E42" s="30" t="str">
        <x:v>账号 A 生成圆桌历史，账号 B 登录查看</x:v>
      </x:c>
      <x:c r="F42" s="30" t="str">
        <x:v>A/B 两个账号</x:v>
      </x:c>
      <x:c r="G42" s="30" t="str">
        <x:v>账号 B 不显示账号 A 的圆桌历史</x:v>
      </x:c>
      <x:c r="H42" s="30" t="str">
        <x:v>与预期一致</x:v>
      </x:c>
      <x:c r="I42" s="30" t="str">
        <x:v>P0</x:v>
      </x:c>
      <x:c r="J42" s="30" t="str">
        <x:v>高</x:v>
      </x:c>
      <x:c r="K42" s="30" t="str">
        <x:v>安全/回归</x:v>
      </x:c>
      <x:c r="L42" s="30" t="str">
        <x:v>通过</x:v>
      </x:c>
      <x:c r="M42" s="30" t="str">
        <x:v>通过</x:v>
      </x:c>
      <x:c r="N42" s="30" t="str"/>
      <x:c r="O42" s="30"/>
    </x:row>
    <x:row r="43" ht="54" customHeight="1">
      <x:c r="A43" s="30" t="str">
        <x:v>TC-039</x:v>
      </x:c>
      <x:c r="B43" s="30" t="str">
        <x:v>我的页面</x:v>
      </x:c>
      <x:c r="C43" s="30" t="str">
        <x:v>系统能力展示</x:v>
      </x:c>
      <x:c r="D43" s="30" t="str">
        <x:v>已登录</x:v>
      </x:c>
      <x:c r="E43" s="30" t="str">
        <x:v>点击底部导航“我的”</x:v>
      </x:c>
      <x:c r="F43" s="30" t="str">
        <x:v>无</x:v>
      </x:c>
      <x:c r="G43" s="30" t="str">
        <x:v>展示项目能力：多 Agent、RAG、Memory、Tool Calling、测试文档等</x:v>
      </x:c>
      <x:c r="H43" s="30" t="str">
        <x:v>与预期一致</x:v>
      </x:c>
      <x:c r="I43" s="30" t="str">
        <x:v>P2</x:v>
      </x:c>
      <x:c r="J43" s="30" t="str">
        <x:v>低</x:v>
      </x:c>
      <x:c r="K43" s="30" t="str">
        <x:v>UI/文案</x:v>
      </x:c>
      <x:c r="L43" s="30" t="str">
        <x:v>通过</x:v>
      </x:c>
      <x:c r="M43" s="30" t="str">
        <x:v>通过</x:v>
      </x:c>
      <x:c r="N43" s="30" t="str"/>
      <x:c r="O43" s="30"/>
    </x:row>
    <x:row r="44" ht="54" customHeight="1">
      <x:c r="A44" s="30" t="str">
        <x:v>TC-040</x:v>
      </x:c>
      <x:c r="B44" s="30" t="str">
        <x:v>我的页面</x:v>
      </x:c>
      <x:c r="C44" s="30" t="str">
        <x:v>旧文案清理</x:v>
      </x:c>
      <x:c r="D44" s="30" t="str">
        <x:v>进入我的页和登录页</x:v>
      </x:c>
      <x:c r="E44" s="30" t="str">
        <x:v>检查页面文案</x:v>
      </x:c>
      <x:c r="F44" s="30" t="str">
        <x:v>无</x:v>
      </x:c>
      <x:c r="G44" s="30" t="str">
        <x:v>不出现 MoodBoard × MBTI、情绪树洞、居民卡等旧文案</x:v>
      </x:c>
      <x:c r="H44" s="30" t="str">
        <x:v>与预期一致</x:v>
      </x:c>
      <x:c r="I44" s="30" t="str">
        <x:v>P2</x:v>
      </x:c>
      <x:c r="J44" s="30" t="str">
        <x:v>低</x:v>
      </x:c>
      <x:c r="K44" s="30" t="str">
        <x:v>UI/回归</x:v>
      </x:c>
      <x:c r="L44" s="30" t="str">
        <x:v>通过</x:v>
      </x:c>
      <x:c r="M44" s="30" t="str">
        <x:v>通过</x:v>
      </x:c>
      <x:c r="N44" s="30" t="str"/>
      <x:c r="O44" s="30"/>
    </x:row>
    <x:row r="45" ht="54" customHeight="1">
      <x:c r="A45" s="30" t="str">
        <x:v>TC-041</x:v>
      </x:c>
      <x:c r="B45" s="30" t="str">
        <x:v>接口联调</x:v>
      </x:c>
      <x:c r="C45" s="30" t="str">
        <x:v>后端异常兜底</x:v>
      </x:c>
      <x:c r="D45" s="30" t="str">
        <x:v>关闭或模拟 Tool Calling 接口异常</x:v>
      </x:c>
      <x:c r="E45" s="30" t="str">
        <x:v>点击先分析内容</x:v>
      </x:c>
      <x:c r="F45" s="30" t="str">
        <x:v>后端异常</x:v>
      </x:c>
      <x:c r="G45" s="30" t="str">
        <x:v>前端显示兜底分析结果或友好错误提示，不白屏</x:v>
      </x:c>
      <x:c r="H45" s="30" t="str">
        <x:v>与预期一致</x:v>
      </x:c>
      <x:c r="I45" s="30" t="str">
        <x:v>P1</x:v>
      </x:c>
      <x:c r="J45" s="30" t="str">
        <x:v>中</x:v>
      </x:c>
      <x:c r="K45" s="30" t="str">
        <x:v>异常/接口</x:v>
      </x:c>
      <x:c r="L45" s="30" t="str">
        <x:v>通过</x:v>
      </x:c>
      <x:c r="M45" s="30" t="str">
        <x:v>通过</x:v>
      </x:c>
      <x:c r="N45" s="30" t="str"/>
      <x:c r="O45" s="30"/>
    </x:row>
    <x:row r="46" ht="54" customHeight="1">
      <x:c r="A46" s="30" t="str">
        <x:v>TC-042</x:v>
      </x:c>
      <x:c r="B46" s="30" t="str">
        <x:v>兼容性</x:v>
      </x:c>
      <x:c r="C46" s="30" t="str">
        <x:v>Chrome 浏览器展示</x:v>
      </x:c>
      <x:c r="D46" s="30" t="str">
        <x:v>Chrome 打开项目</x:v>
      </x:c>
      <x:c r="E46" s="30" t="str">
        <x:v>依次查看内容、圆桌、知识库、我的页面</x:v>
      </x:c>
      <x:c r="F46" s="30" t="str">
        <x:v>1920×1080 分辨率</x:v>
      </x:c>
      <x:c r="G46" s="30" t="str">
        <x:v>页面无明显错位，核心按钮可点击</x:v>
      </x:c>
      <x:c r="H46" s="30" t="str">
        <x:v>与预期一致</x:v>
      </x:c>
      <x:c r="I46" s="30" t="str">
        <x:v>P2</x:v>
      </x:c>
      <x:c r="J46" s="30" t="str">
        <x:v>低</x:v>
      </x:c>
      <x:c r="K46" s="30" t="str">
        <x:v>兼容性</x:v>
      </x:c>
      <x:c r="L46" s="30" t="str">
        <x:v>通过</x:v>
      </x:c>
      <x:c r="M46" s="30" t="str">
        <x:v>通过</x:v>
      </x:c>
      <x:c r="N46" s="30" t="str"/>
      <x:c r="O46" s="30"/>
    </x:row>
    <x:row r="47" ht="54" customHeight="1">
      <x:c r="A47" s="30" t="str">
        <x:v>TC-043</x:v>
      </x:c>
      <x:c r="B47" s="30" t="str">
        <x:v>兼容性</x:v>
      </x:c>
      <x:c r="C47" s="30" t="str">
        <x:v>Edge 浏览器展示</x:v>
      </x:c>
      <x:c r="D47" s="30" t="str">
        <x:v>Edge 打开项目</x:v>
      </x:c>
      <x:c r="E47" s="30" t="str">
        <x:v>依次查看内容、圆桌、知识库、我的页面</x:v>
      </x:c>
      <x:c r="F47" s="30" t="str">
        <x:v>Edge 最新版</x:v>
      </x:c>
      <x:c r="G47" s="30" t="str">
        <x:v>页面无明显错位，核心按钮可点击</x:v>
      </x:c>
      <x:c r="H47" s="30" t="str">
        <x:v>与预期一致</x:v>
      </x:c>
      <x:c r="I47" s="30" t="str">
        <x:v>P2</x:v>
      </x:c>
      <x:c r="J47" s="30" t="str">
        <x:v>低</x:v>
      </x:c>
      <x:c r="K47" s="30" t="str">
        <x:v>兼容性</x:v>
      </x:c>
      <x:c r="L47" s="30" t="str">
        <x:v>通过</x:v>
      </x:c>
      <x:c r="M47" s="30" t="str">
        <x:v>通过</x:v>
      </x:c>
      <x:c r="N47" s="30" t="str"/>
      <x:c r="O47" s="30"/>
    </x:row>
    <x:row r="48" ht="54" customHeight="1">
      <x:c r="A48" s="30" t="str">
        <x:v>TC-044</x:v>
      </x:c>
      <x:c r="B48" s="30" t="str">
        <x:v>测试文档</x:v>
      </x:c>
      <x:c r="C48" s="30" t="str">
        <x:v>README 一致性</x:v>
      </x:c>
      <x:c r="D48" s="30" t="str">
        <x:v>打开 README.md</x:v>
      </x:c>
      <x:c r="E48" s="30" t="str">
        <x:v>检查项目名称和功能说明</x:v>
      </x:c>
      <x:c r="F48" s="30" t="str">
        <x:v>无</x:v>
      </x:c>
      <x:c r="G48" s="30" t="str">
        <x:v>README 与当前 AI Agent 剧本生成系统一致，无旧项目描述</x:v>
      </x:c>
      <x:c r="H48" s="30" t="str">
        <x:v>与预期一致</x:v>
      </x:c>
      <x:c r="I48" s="30" t="str">
        <x:v>P2</x:v>
      </x:c>
      <x:c r="J48" s="30" t="str">
        <x:v>低</x:v>
      </x:c>
      <x:c r="K48" s="30" t="str">
        <x:v>文档</x:v>
      </x:c>
      <x:c r="L48" s="30" t="str">
        <x:v>通过</x:v>
      </x:c>
      <x:c r="M48" s="30" t="str">
        <x:v>通过</x:v>
      </x:c>
      <x:c r="N48" s="30" t="str"/>
      <x:c r="O48" s="30"/>
    </x:row>
    <x:row r="49" ht="54" customHeight="1">
      <x:c r="A49" s="30" t="str">
        <x:v>TC-045</x:v>
      </x:c>
      <x:c r="B49" s="30" t="str">
        <x:v>自动化测试</x:v>
      </x:c>
      <x:c r="C49" s="30" t="str">
        <x:v>pytest 报告生成</x:v>
      </x:c>
      <x:c r="D49" s="30" t="str">
        <x:v>后端已启动</x:v>
      </x:c>
      <x:c r="E49" s="30" t="str">
        <x:v>执行 pytest 命令</x:v>
      </x:c>
      <x:c r="F49" s="30" t="str">
        <x:v>tests/test_api_pytest.py</x:v>
      </x:c>
      <x:c r="G49" s="30" t="str">
        <x:v>测试通过并生成 tests/reports/api_report.html</x:v>
      </x:c>
      <x:c r="H49" s="30" t="str">
        <x:v>与预期一致</x:v>
      </x:c>
      <x:c r="I49" s="30" t="str">
        <x:v>P1</x:v>
      </x:c>
      <x:c r="J49" s="30" t="str">
        <x:v>中</x:v>
      </x:c>
      <x:c r="K49" s="30" t="str">
        <x:v>自动化</x:v>
      </x:c>
      <x:c r="L49" s="30" t="str">
        <x:v>通过</x:v>
      </x:c>
      <x:c r="M49" s="30" t="str">
        <x:v>通过</x:v>
      </x:c>
      <x:c r="N49" s="30" t="str"/>
      <x:c r="O49" s="30"/>
    </x:row>
  </x:sheetData>
  <x:mergeCells>
    <x:mergeCell ref="A1:O1"/>
    <x:mergeCell ref="A2:O2"/>
  </x:mergeCells>
  <x:conditionalFormatting sqref="M5:M49">
    <x:cfRule type="expression" dxfId="0" priority="1">
      <x:formula>$M5="通过"</x:formula>
    </x:cfRule>
    <x:cfRule type="expression" dxfId="1" priority="2">
      <x:formula>$M5="失败"</x:formula>
    </x:cfRule>
  </x:conditionalFormatting>
  <x:conditionalFormatting sqref="J5:J49">
    <x:cfRule type="expression" dxfId="2" priority="3">
      <x:formula>$J5="P0"</x:formula>
    </x:cfRule>
  </x:conditionalFormatting>
  <x:conditionalFormatting sqref="K5:K49">
    <x:cfRule type="expression" dxfId="3" priority="4">
      <x:formula>$K5="高"</x:formula>
    </x:cfRule>
  </x:conditionalFormatting>
  <x:dataValidations count="6">
    <x:dataValidation type="list" sqref="B5:B49">
      <x:formula1>数据字典!$A$2:$A$16</x:formula1>
    </x:dataValidation>
    <x:dataValidation type="list" sqref="J5:J49">
      <x:formula1>数据字典!$B$2:$B$5</x:formula1>
    </x:dataValidation>
    <x:dataValidation type="list" sqref="K5:K49">
      <x:formula1>数据字典!$C$2:$C$4</x:formula1>
    </x:dataValidation>
    <x:dataValidation type="list" sqref="L5:L49">
      <x:formula1>数据字典!$D$2:$D$17</x:formula1>
    </x:dataValidation>
    <x:dataValidation type="list" sqref="M5:M49">
      <x:formula1>数据字典!$E$2:$E$5</x:formula1>
    </x:dataValidation>
    <x:dataValidation type="list" sqref="N5:N49">
      <x:formula1>"未回归,通过,失败,不适用"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8ac508ee2634203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4" max="4" width="18" hidden="0" customWidth="1"/>
    <x:col min="5" max="5" width="12" hidden="0" customWidth="1"/>
    <x:col min="6" max="6" width="12" hidden="0" customWidth="1"/>
  </x:cols>
  <x:sheetData>
    <x:row r="1" ht="30" customHeight="1">
      <x:c r="A1" s="5" t="str">
        <x:v>功能测试用例统计汇总</x:v>
      </x:c>
      <x:c r="B1" s="5"/>
      <x:c r="C1" s="5"/>
      <x:c r="D1" s="5"/>
      <x:c r="E1" s="5"/>
      <x:c r="F1" s="5"/>
      <x:c r="G1" s="5"/>
      <x:c r="H1" s="5"/>
    </x:row>
    <x:row r="3" ht="30" customHeight="1">
      <x:c r="A3" s="22" t="str">
        <x:v>统计项</x:v>
      </x:c>
      <x:c r="B3" s="22" t="str">
        <x:v>数量</x:v>
      </x:c>
      <x:c r="D3" s="22" t="str">
        <x:v>一级模块</x:v>
      </x:c>
      <x:c r="E3" s="22" t="str">
        <x:v>用例数量</x:v>
      </x:c>
      <x:c r="F3" s="22" t="str">
        <x:v>通过数</x:v>
      </x:c>
    </x:row>
    <x:row r="4">
      <x:c r="A4" s="32" t="str">
        <x:v>用例总数</x:v>
      </x:c>
      <x:c r="B4" s="32" t="n">
        <x:v>45</x:v>
      </x:c>
      <x:c r="D4" s="32" t="str">
        <x:v>RAG 存档</x:v>
      </x:c>
      <x:c r="E4" s="32" t="n">
        <x:f>COUNTIF('功能测试用例'!$B$5:$B$49,D4)</x:f>
        <x:v>2</x:v>
      </x:c>
      <x:c r="F4" s="32" t="n">
        <x:f>COUNTIFS('功能测试用例'!$B$5:$B$49,D4,'功能测试用例'!$M$5:$M$49,"通过")</x:f>
        <x:v>2</x:v>
      </x:c>
    </x:row>
    <x:row r="5">
      <x:c r="A5" s="32" t="str">
        <x:v>通过数</x:v>
      </x:c>
      <x:c r="B5" s="32" t="n">
        <x:f>COUNTIF('功能测试用例'!M5:M49,"通过")</x:f>
        <x:v>45</x:v>
      </x:c>
      <x:c r="D5" s="32" t="str">
        <x:v>RAG 知识库</x:v>
      </x:c>
      <x:c r="E5" s="32" t="n">
        <x:f>COUNTIF('功能测试用例'!$B$5:$B$49,D5)</x:f>
        <x:v>3</x:v>
      </x:c>
      <x:c r="F5" s="32" t="n">
        <x:f>COUNTIFS('功能测试用例'!$B$5:$B$49,D5,'功能测试用例'!$M$5:$M$49,"通过")</x:f>
        <x:v>3</x:v>
      </x:c>
    </x:row>
    <x:row r="6">
      <x:c r="A6" s="32" t="str">
        <x:v>失败数</x:v>
      </x:c>
      <x:c r="B6" s="32" t="n">
        <x:f>COUNTIF('功能测试用例'!M5:M49,"失败")</x:f>
        <x:v>0</x:v>
      </x:c>
      <x:c r="D6" s="32" t="str">
        <x:v>Tool Calling</x:v>
      </x:c>
      <x:c r="E6" s="32" t="n">
        <x:f>COUNTIF('功能测试用例'!$B$5:$B$49,D6)</x:f>
        <x:v>2</x:v>
      </x:c>
      <x:c r="F6" s="32" t="n">
        <x:f>COUNTIFS('功能测试用例'!$B$5:$B$49,D6,'功能测试用例'!$M$5:$M$49,"通过")</x:f>
        <x:v>2</x:v>
      </x:c>
    </x:row>
    <x:row r="7">
      <x:c r="A7" s="32" t="str">
        <x:v>待执行数</x:v>
      </x:c>
      <x:c r="B7" s="32" t="n">
        <x:f>COUNTIF('功能测试用例'!M5:M49,"待执行")</x:f>
        <x:v>0</x:v>
      </x:c>
      <x:c r="D7" s="32" t="str">
        <x:v>兼容性</x:v>
      </x:c>
      <x:c r="E7" s="32" t="n">
        <x:f>COUNTIF('功能测试用例'!$B$5:$B$49,D7)</x:f>
        <x:v>2</x:v>
      </x:c>
      <x:c r="F7" s="32" t="n">
        <x:f>COUNTIFS('功能测试用例'!$B$5:$B$49,D7,'功能测试用例'!$M$5:$M$49,"通过")</x:f>
        <x:v>2</x:v>
      </x:c>
    </x:row>
    <x:row r="8">
      <x:c r="A8" s="32" t="str">
        <x:v>阻塞数</x:v>
      </x:c>
      <x:c r="B8" s="32" t="n">
        <x:f>COUNTIF('功能测试用例'!M5:M49,"阻塞")</x:f>
        <x:v>0</x:v>
      </x:c>
      <x:c r="D8" s="32" t="str">
        <x:v>内容生产</x:v>
      </x:c>
      <x:c r="E8" s="32" t="n">
        <x:f>COUNTIF('功能测试用例'!$B$5:$B$49,D8)</x:f>
        <x:v>6</x:v>
      </x:c>
      <x:c r="F8" s="32" t="n">
        <x:f>COUNTIFS('功能测试用例'!$B$5:$B$49,D8,'功能测试用例'!$M$5:$M$49,"通过")</x:f>
        <x:v>6</x:v>
      </x:c>
    </x:row>
    <x:row r="9">
      <x:c r="D9" s="32" t="str">
        <x:v>圆桌带入</x:v>
      </x:c>
      <x:c r="E9" s="32" t="n">
        <x:f>COUNTIF('功能测试用例'!$B$5:$B$49,D9)</x:f>
        <x:v>3</x:v>
      </x:c>
      <x:c r="F9" s="32" t="n">
        <x:f>COUNTIFS('功能测试用例'!$B$5:$B$49,D9,'功能测试用例'!$M$5:$M$49,"通过")</x:f>
        <x:v>3</x:v>
      </x:c>
    </x:row>
    <x:row r="10" ht="32" customHeight="1">
      <x:c r="A10" s="35" t="str">
        <x:v>说明：本表用于面试和项目提交展示，执行状态可按实际测试结果更新；下拉选项来源于“数据字典”工作表。</x:v>
      </x:c>
      <x:c r="B10" s="35"/>
      <x:c r="C10" s="35"/>
      <x:c r="D10" s="35" t="str">
        <x:v>多 Agent 圆桌</x:v>
      </x:c>
      <x:c r="E10" s="35" t="n">
        <x:f>COUNTIF('功能测试用例'!$B$5:$B$49,D10)</x:f>
        <x:v>8</x:v>
      </x:c>
      <x:c r="F10" s="35" t="n">
        <x:f>COUNTIFS('功能测试用例'!$B$5:$B$49,D10,'功能测试用例'!$M$5:$M$49,"通过")</x:f>
        <x:v>8</x:v>
      </x:c>
      <x:c r="G10" s="35"/>
      <x:c r="H10" s="35"/>
    </x:row>
    <x:row r="11">
      <x:c r="D11" s="32" t="str">
        <x:v>我的页面</x:v>
      </x:c>
      <x:c r="E11" s="32" t="n">
        <x:f>COUNTIF('功能测试用例'!$B$5:$B$49,D11)</x:f>
        <x:v>2</x:v>
      </x:c>
      <x:c r="F11" s="32" t="n">
        <x:f>COUNTIFS('功能测试用例'!$B$5:$B$49,D11,'功能测试用例'!$M$5:$M$49,"通过")</x:f>
        <x:v>2</x:v>
      </x:c>
    </x:row>
    <x:row r="12">
      <x:c r="D12" s="32" t="str">
        <x:v>接口联调</x:v>
      </x:c>
      <x:c r="E12" s="32" t="n">
        <x:f>COUNTIF('功能测试用例'!$B$5:$B$49,D12)</x:f>
        <x:v>1</x:v>
      </x:c>
      <x:c r="F12" s="32" t="n">
        <x:f>COUNTIFS('功能测试用例'!$B$5:$B$49,D12,'功能测试用例'!$M$5:$M$49,"通过")</x:f>
        <x:v>1</x:v>
      </x:c>
    </x:row>
    <x:row r="13">
      <x:c r="D13" s="32" t="str">
        <x:v>测试文档</x:v>
      </x:c>
      <x:c r="E13" s="32" t="n">
        <x:f>COUNTIF('功能测试用例'!$B$5:$B$49,D13)</x:f>
        <x:v>1</x:v>
      </x:c>
      <x:c r="F13" s="32" t="n">
        <x:f>COUNTIFS('功能测试用例'!$B$5:$B$49,D13,'功能测试用例'!$M$5:$M$49,"通过")</x:f>
        <x:v>1</x:v>
      </x:c>
    </x:row>
    <x:row r="14">
      <x:c r="D14" s="32" t="str">
        <x:v>登录注册</x:v>
      </x:c>
      <x:c r="E14" s="32" t="n">
        <x:f>COUNTIF('功能测试用例'!$B$5:$B$49,D14)</x:f>
        <x:v>6</x:v>
      </x:c>
      <x:c r="F14" s="32" t="n">
        <x:f>COUNTIFS('功能测试用例'!$B$5:$B$49,D14,'功能测试用例'!$M$5:$M$49,"通过")</x:f>
        <x:v>6</x:v>
      </x:c>
    </x:row>
    <x:row r="15">
      <x:c r="D15" s="32" t="str">
        <x:v>自动化测试</x:v>
      </x:c>
      <x:c r="E15" s="32" t="n">
        <x:f>COUNTIF('功能测试用例'!$B$5:$B$49,D15)</x:f>
        <x:v>1</x:v>
      </x:c>
      <x:c r="F15" s="32" t="n">
        <x:f>COUNTIFS('功能测试用例'!$B$5:$B$49,D15,'功能测试用例'!$M$5:$M$49,"通过")</x:f>
        <x:v>1</x:v>
      </x:c>
    </x:row>
    <x:row r="16">
      <x:c r="D16" s="32" t="str">
        <x:v>自定义 Agent</x:v>
      </x:c>
      <x:c r="E16" s="32" t="n">
        <x:f>COUNTIF('功能测试用例'!$B$5:$B$49,D16)</x:f>
        <x:v>4</x:v>
      </x:c>
      <x:c r="F16" s="32" t="n">
        <x:f>COUNTIFS('功能测试用例'!$B$5:$B$49,D16,'功能测试用例'!$M$5:$M$49,"通过")</x:f>
        <x:v>4</x:v>
      </x:c>
    </x:row>
    <x:row r="17">
      <x:c r="D17" s="32" t="str">
        <x:v>账号隔离</x:v>
      </x:c>
      <x:c r="E17" s="32" t="n">
        <x:f>COUNTIF('功能测试用例'!$B$5:$B$49,D17)</x:f>
        <x:v>2</x:v>
      </x:c>
      <x:c r="F17" s="32" t="n">
        <x:f>COUNTIFS('功能测试用例'!$B$5:$B$49,D17,'功能测试用例'!$M$5:$M$49,"通过")</x:f>
        <x:v>2</x:v>
      </x:c>
    </x:row>
    <x:row r="18">
      <x:c r="D18" s="32" t="str">
        <x:v>页面导航</x:v>
      </x:c>
      <x:c r="E18" s="32" t="n">
        <x:f>COUNTIF('功能测试用例'!$B$5:$B$49,D18)</x:f>
        <x:v>2</x:v>
      </x:c>
      <x:c r="F18" s="32" t="n">
        <x:f>COUNTIFS('功能测试用例'!$B$5:$B$49,D18,'功能测试用例'!$M$5:$M$49,"通过")</x:f>
        <x:v>2</x:v>
      </x:c>
    </x:row>
  </x:sheetData>
  <x:mergeCells>
    <x:mergeCell ref="A1:H1"/>
    <x:mergeCell ref="A10:H1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</x:cols>
  <x:sheetData>
    <x:row r="1" ht="30" customHeight="1">
      <x:c r="A1" s="22" t="str">
        <x:v>一级模块</x:v>
      </x:c>
      <x:c r="B1" s="22" t="str">
        <x:v>优先级</x:v>
      </x:c>
      <x:c r="C1" s="22" t="str">
        <x:v>严重程度</x:v>
      </x:c>
      <x:c r="D1" s="22" t="str">
        <x:v>测试类型</x:v>
      </x:c>
      <x:c r="E1" s="22" t="str">
        <x:v>执行状态</x:v>
      </x:c>
    </x:row>
    <x:row r="2">
      <x:c r="A2" s="28" t="str">
        <x:v>RAG 存档</x:v>
      </x:c>
      <x:c r="B2" s="28" t="str">
        <x:v>P0</x:v>
      </x:c>
      <x:c r="C2" s="28" t="str">
        <x:v>高</x:v>
      </x:c>
      <x:c r="D2" s="28" t="str">
        <x:v>功能</x:v>
      </x:c>
      <x:c r="E2" s="28" t="str">
        <x:v>待执行</x:v>
      </x:c>
    </x:row>
    <x:row r="3">
      <x:c r="A3" s="28" t="str">
        <x:v>RAG 知识库</x:v>
      </x:c>
      <x:c r="B3" s="28" t="str">
        <x:v>P1</x:v>
      </x:c>
      <x:c r="C3" s="28" t="str">
        <x:v>中</x:v>
      </x:c>
      <x:c r="D3" s="28" t="str">
        <x:v>UI/功能</x:v>
      </x:c>
      <x:c r="E3" s="28" t="str">
        <x:v>通过</x:v>
      </x:c>
    </x:row>
    <x:row r="4">
      <x:c r="A4" s="28" t="str">
        <x:v>Tool Calling</x:v>
      </x:c>
      <x:c r="B4" s="28" t="str">
        <x:v>P2</x:v>
      </x:c>
      <x:c r="C4" s="28" t="str">
        <x:v>低</x:v>
      </x:c>
      <x:c r="D4" s="28" t="str">
        <x:v>异常</x:v>
      </x:c>
      <x:c r="E4" s="28" t="str">
        <x:v>失败</x:v>
      </x:c>
    </x:row>
    <x:row r="5">
      <x:c r="A5" s="28" t="str">
        <x:v>兼容性</x:v>
      </x:c>
      <x:c r="B5" s="28" t="str">
        <x:v>P3</x:v>
      </x:c>
      <x:c r="C5" s="28"/>
      <x:c r="D5" s="28" t="str">
        <x:v>边界/异常</x:v>
      </x:c>
      <x:c r="E5" s="28" t="str">
        <x:v>阻塞</x:v>
      </x:c>
    </x:row>
    <x:row r="6">
      <x:c r="A6" s="28" t="str">
        <x:v>内容生产</x:v>
      </x:c>
      <x:c r="B6" s="28"/>
      <x:c r="C6" s="28"/>
      <x:c r="D6" s="28" t="str">
        <x:v>功能/AI</x:v>
      </x:c>
      <x:c r="E6" s="28"/>
    </x:row>
    <x:row r="7">
      <x:c r="A7" s="28" t="str">
        <x:v>圆桌带入</x:v>
      </x:c>
      <x:c r="B7" s="28"/>
      <x:c r="C7" s="28"/>
      <x:c r="D7" s="28" t="str">
        <x:v>AI专项</x:v>
      </x:c>
      <x:c r="E7" s="28"/>
    </x:row>
    <x:row r="8">
      <x:c r="A8" s="28" t="str">
        <x:v>多 Agent 圆桌</x:v>
      </x:c>
      <x:c r="B8" s="28"/>
      <x:c r="C8" s="28"/>
      <x:c r="D8" s="28" t="str">
        <x:v>回归/AI</x:v>
      </x:c>
      <x:c r="E8" s="28"/>
    </x:row>
    <x:row r="9">
      <x:c r="A9" s="28" t="str">
        <x:v>我的页面</x:v>
      </x:c>
      <x:c r="B9" s="28"/>
      <x:c r="C9" s="28"/>
      <x:c r="D9" s="28" t="str">
        <x:v>安全/回归</x:v>
      </x:c>
      <x:c r="E9" s="28"/>
    </x:row>
    <x:row r="10">
      <x:c r="A10" s="28" t="str">
        <x:v>接口联调</x:v>
      </x:c>
      <x:c r="B10" s="28"/>
      <x:c r="C10" s="28"/>
      <x:c r="D10" s="28" t="str">
        <x:v>接口</x:v>
      </x:c>
      <x:c r="E10" s="28"/>
    </x:row>
    <x:row r="11">
      <x:c r="A11" s="28" t="str">
        <x:v>测试文档</x:v>
      </x:c>
      <x:c r="B11" s="28"/>
      <x:c r="C11" s="28"/>
      <x:c r="D11" s="28" t="str">
        <x:v>文档</x:v>
      </x:c>
      <x:c r="E11" s="28"/>
    </x:row>
    <x:row r="12">
      <x:c r="A12" s="28" t="str">
        <x:v>登录注册</x:v>
      </x:c>
      <x:c r="B12" s="28"/>
      <x:c r="C12" s="28"/>
      <x:c r="D12" s="28" t="str">
        <x:v>自动化</x:v>
      </x:c>
      <x:c r="E12" s="28"/>
    </x:row>
    <x:row r="13">
      <x:c r="A13" s="28" t="str">
        <x:v>自动化测试</x:v>
      </x:c>
      <x:c r="B13" s="28"/>
      <x:c r="C13" s="28"/>
      <x:c r="D13" s="28" t="str">
        <x:v>兼容性</x:v>
      </x:c>
      <x:c r="E13" s="28"/>
    </x:row>
    <x:row r="14">
      <x:c r="A14" s="28" t="str">
        <x:v>自定义 Agent</x:v>
      </x:c>
      <x:c r="B14" s="28"/>
      <x:c r="C14" s="28"/>
      <x:c r="D14" s="28" t="str">
        <x:v>页面导航</x:v>
      </x:c>
      <x:c r="E14" s="28"/>
    </x:row>
    <x:row r="15">
      <x:c r="A15" s="28" t="str">
        <x:v>账号隔离</x:v>
      </x:c>
      <x:c r="B15" s="28"/>
      <x:c r="C15" s="28"/>
      <x:c r="D15" s="28" t="str">
        <x:v>UI/文案</x:v>
      </x:c>
      <x:c r="E15" s="28"/>
    </x:row>
    <x:row r="16">
      <x:c r="A16" s="28" t="str">
        <x:v>页面导航</x:v>
      </x:c>
      <x:c r="B16" s="28"/>
      <x:c r="C16" s="28"/>
      <x:c r="D16" s="28" t="str">
        <x:v>UI/回归</x:v>
      </x:c>
      <x:c r="E16" s="28"/>
    </x:row>
    <x:row r="17">
      <x:c r="A17" s="28"/>
      <x:c r="B17" s="28"/>
      <x:c r="C17" s="28"/>
      <x:c r="D17" s="28" t="str">
        <x:v>异常/接口</x:v>
      </x:c>
      <x:c r="E17" s="28"/>
    </x:row>
  </x:sheetData>
  <x:pageMargins left="0.7" right="0.7" top="0.75" bottom="0.75" header="0.3" footer="0.3"/>
</x:worksheet>
</file>