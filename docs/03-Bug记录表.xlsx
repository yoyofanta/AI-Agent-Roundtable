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a70a6d2ebe42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ug记录表" sheetId="1" r:id="R94367ce15db64ac9"/>
    <x:sheet xmlns:r="http://schemas.openxmlformats.org/officeDocument/2006/relationships" name="统计汇总" sheetId="2" r:id="R5cd59da6be284ca1"/>
    <x:sheet xmlns:r="http://schemas.openxmlformats.org/officeDocument/2006/relationships" name="数据字典" sheetId="3" r:id="R9afd0e3c9f404e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833C0C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</x:fills>
  <x:borders count="2">
    <x:border/>
    <x:border/>
  </x:borders>
  <x:cellStyleXfs count="1">
    <x:xf numFmtId="0" fontId="0" fillId="0" borderId="0"/>
  </x:cellStyleXfs>
  <x:cellXfs count="5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1" fillId="3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1" fillId="3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</x:cellXfs>
  <x:cellStyles count="1">
    <x:cellStyle name="Normal" xfId="0"/>
  </x:cellStyles>
  <x:dxfs count="8"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e9ef5d57b64e24" /><Relationship Type="http://schemas.openxmlformats.org/officeDocument/2006/relationships/theme" Target="/xl/theme/theme1.xml" Id="R619c6e0bd41b4310" /><Relationship Type="http://schemas.openxmlformats.org/officeDocument/2006/relationships/sharedStrings" Target="/xl/sharedStrings.xml" Id="R5221761543fc407e" /><Relationship Type="http://schemas.openxmlformats.org/officeDocument/2006/relationships/worksheet" Target="/xl/worksheets/sheet1.xml" Id="R94367ce15db64ac9" /><Relationship Type="http://schemas.openxmlformats.org/officeDocument/2006/relationships/worksheet" Target="/xl/worksheets/sheet2.xml" Id="R5cd59da6be284ca1" /><Relationship Type="http://schemas.openxmlformats.org/officeDocument/2006/relationships/worksheet" Target="/xl/worksheets/sheet3.xml" Id="R9afd0e3c9f404ee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94b6ac5f0764e61" /><Relationship Type="http://schemas.openxmlformats.org/officeDocument/2006/relationships/chart" Target="/xl/drawings/charts/chart2.xml" Id="Rca717a3979804c6d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ayout/>
      <c:barChart>
        <c:barDir val="col"/>
        <c:grouping val="clustered"/>
        <c:varyColors val="0"/>
        <c:ser>
          <c:idx val="0"/>
          <c:order val="0"/>
          <c:tx>
            <c:v>数量</c:v>
          </c:tx>
          <c:cat>
            <c:strRef>
              <c:f>'统计汇总'!$D$4:$D$6</c:f>
              <c:strCache>
                <c:ptCount val="0"/>
              </c:strCache>
            </c:strRef>
          </c:cat>
          <c:val>
            <c:numRef>
              <c:f>'统计汇总'!$E$4:$E$6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plotArea>
      <c:layout/>
      <c:barChart>
        <c:barDir val="col"/>
        <c:varyColors val="0"/>
        <c:ser>
          <c:idx val="0"/>
          <c:order val="0"/>
          <c:tx>
            <c:v>数量</c:v>
          </c:tx>
          <c:cat>
            <c:strRef>
              <c:f>'统计汇总'!$G$4:$G$15</c:f>
              <c:strCache>
                <c:ptCount val="0"/>
              </c:strCache>
            </c:strRef>
          </c:cat>
          <c:val>
            <c:numRef>
              <c:f>'统计汇总'!$H$4:$H$15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5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94b6ac5f0764e61"/>
        </a:graphicData>
      </a:graphic>
    </xdr:graphicFrame>
    <xdr:clientData/>
  </xdr:twoCellAnchor>
  <xdr:twoCellAnchor>
    <xdr:from>
      <xdr:col>6</xdr:col>
      <xdr:colOff>0</xdr:colOff>
      <xdr:row>16</xdr:row>
      <xdr:rowOff>0</xdr:rowOff>
    </xdr:from>
    <xdr:to>
      <xdr:col>14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a717a3979804c6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BugRecordsTable" displayName="BugRecordsTable" ref="A1:R29" headerRowCount="1">
  <x:tableColumns count="18">
    <x:tableColumn id="1" name="Bug编号"/>
    <x:tableColumn id="2" name="模块"/>
    <x:tableColumn id="3" name="Bug标题"/>
    <x:tableColumn id="4" name="严重程度"/>
    <x:tableColumn id="5" name="优先级"/>
    <x:tableColumn id="6" name="状态"/>
    <x:tableColumn id="7" name="发现版本"/>
    <x:tableColumn id="8" name="发现日期"/>
    <x:tableColumn id="9" name="前置条件"/>
    <x:tableColumn id="10" name="复现步骤"/>
    <x:tableColumn id="11" name="实际结果"/>
    <x:tableColumn id="12" name="预期结果"/>
    <x:tableColumn id="13" name="原因分析"/>
    <x:tableColumn id="14" name="修复方案"/>
    <x:tableColumn id="15" name="修复负责人"/>
    <x:tableColumn id="16" name="修复日期"/>
    <x:tableColumn id="17" name="回归结果"/>
    <x:tableColumn id="18" name="备注"/>
  </x:tableColumns>
  <x:tableStyleInfo name="TableStyleMedium2" showRowStripes="1"/>
</x:table>
</file>

<file path=xl/tables/table2.xml><?xml version="1.0" encoding="utf-8"?>
<x:table xmlns:x="http://schemas.openxmlformats.org/spreadsheetml/2006/main" id="2" name="BugKpiTable" displayName="BugKpiTable" ref="A3:B8" headerRowCount="1">
  <x:tableColumns count="2">
    <x:tableColumn id="1" name="指标"/>
    <x:tableColumn id="2" name="数量"/>
  </x:tableColumns>
  <x:tableStyleInfo name="TableStyleMedium2" showRowStripes="1"/>
</x:table>
</file>

<file path=xl/tables/table3.xml><?xml version="1.0" encoding="utf-8"?>
<x:table xmlns:x="http://schemas.openxmlformats.org/spreadsheetml/2006/main" id="3" name="SeveritySummaryTable" displayName="SeveritySummaryTable" ref="D3:E6" headerRowCount="1">
  <x:tableColumns count="2">
    <x:tableColumn id="1" name="严重程度"/>
    <x:tableColumn id="2" name="数量"/>
  </x:tableColumns>
  <x:tableStyleInfo name="TableStyleMedium2" showRowStripes="1"/>
</x:table>
</file>

<file path=xl/tables/table4.xml><?xml version="1.0" encoding="utf-8"?>
<x:table xmlns:x="http://schemas.openxmlformats.org/spreadsheetml/2006/main" id="4" name="ModuleSummaryTable" displayName="ModuleSummaryTable" ref="G3:H15" headerRowCount="1">
  <x:tableColumns count="2">
    <x:tableColumn id="1" name="模块"/>
    <x:tableColumn id="2" name="数量"/>
  </x:tableColumns>
  <x:tableStyleInfo name="TableStyleMedium2" showRowStripes="1"/>
</x:table>
</file>

<file path=xl/tables/table5.xml><?xml version="1.0" encoding="utf-8"?>
<x:table xmlns:x="http://schemas.openxmlformats.org/spreadsheetml/2006/main" id="5" name="DataDictionaryTable" displayName="DataDictionaryTable" ref="A1:F13" headerRowCount="1">
  <x:tableColumns count="6">
    <x:tableColumn id="1" name="严重程度"/>
    <x:tableColumn id="2" name="优先级"/>
    <x:tableColumn id="3" name="状态"/>
    <x:tableColumn id="4" name="回归结果"/>
    <x:tableColumn id="5" name="模块"/>
    <x:tableColumn id="6" name="修复负责人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48a2fc4dc3644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4b8eef794ed4f0e" /><Relationship Type="http://schemas.openxmlformats.org/officeDocument/2006/relationships/table" Target="/xl/tables/table2.xml" Id="Rb3508044643e4800" /><Relationship Type="http://schemas.openxmlformats.org/officeDocument/2006/relationships/table" Target="/xl/tables/table3.xml" Id="R4117378f8ff54f96" /><Relationship Type="http://schemas.openxmlformats.org/officeDocument/2006/relationships/table" Target="/xl/tables/table4.xml" Id="Rea98247f9893473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5.xml" Id="R36118e8946d54fa0" /></Relationships>
</file>

<file path=xl/worksheets/sheet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30" hidden="0" customWidth="1"/>
    <x:col min="4" max="4" width="10" hidden="0" customWidth="1"/>
    <x:col min="5" max="5" width="10" hidden="0" customWidth="1"/>
    <x:col min="6" max="6" width="12" hidden="0" customWidth="1"/>
    <x:col min="7" max="7" width="10" hidden="0" customWidth="1"/>
    <x:col min="8" max="8" width="12" hidden="0" customWidth="1"/>
    <x:col min="9" max="9" width="28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8" hidden="0" customWidth="1"/>
    <x:col min="15" max="15" width="12" hidden="0" customWidth="1"/>
    <x:col min="16" max="16" width="12" hidden="0" customWidth="1"/>
    <x:col min="17" max="17" width="12" hidden="0" customWidth="1"/>
    <x:col min="18" max="18" width="22" hidden="0" customWidth="1"/>
  </x:cols>
  <x:sheetData>
    <x:row r="1" ht="28" customHeight="1">
      <x:c r="A1" s="6" t="str">
        <x:v>Bug编号</x:v>
      </x:c>
      <x:c r="B1" s="6" t="str">
        <x:v>模块</x:v>
      </x:c>
      <x:c r="C1" s="6" t="str">
        <x:v>Bug标题</x:v>
      </x:c>
      <x:c r="D1" s="6" t="str">
        <x:v>严重程度</x:v>
      </x:c>
      <x:c r="E1" s="6" t="str">
        <x:v>优先级</x:v>
      </x:c>
      <x:c r="F1" s="6" t="str">
        <x:v>状态</x:v>
      </x:c>
      <x:c r="G1" s="6" t="str">
        <x:v>发现版本</x:v>
      </x:c>
      <x:c r="H1" s="6" t="str">
        <x:v>发现日期</x:v>
      </x:c>
      <x:c r="I1" s="6" t="str">
        <x:v>前置条件</x:v>
      </x:c>
      <x:c r="J1" s="6" t="str">
        <x:v>复现步骤</x:v>
      </x:c>
      <x:c r="K1" s="6" t="str">
        <x:v>实际结果</x:v>
      </x:c>
      <x:c r="L1" s="6" t="str">
        <x:v>预期结果</x:v>
      </x:c>
      <x:c r="M1" s="6" t="str">
        <x:v>原因分析</x:v>
      </x:c>
      <x:c r="N1" s="6" t="str">
        <x:v>修复方案</x:v>
      </x:c>
      <x:c r="O1" s="6" t="str">
        <x:v>修复负责人</x:v>
      </x:c>
      <x:c r="P1" s="6" t="str">
        <x:v>修复日期</x:v>
      </x:c>
      <x:c r="Q1" s="6" t="str">
        <x:v>回归结果</x:v>
      </x:c>
      <x:c r="R1" s="6" t="str">
        <x:v>备注</x:v>
      </x:c>
    </x:row>
    <x:row r="2">
      <x:c r="A2" s="13" t="str">
        <x:v>BUG-001</x:v>
      </x:c>
      <x:c r="B2" s="13" t="str">
        <x:v>登录注册</x:v>
      </x:c>
      <x:c r="C2" s="13" t="str">
        <x:v>注册成功后未自动登录</x:v>
      </x:c>
      <x:c r="D2" s="13" t="str">
        <x:v>高</x:v>
      </x:c>
      <x:c r="E2" s="13" t="str">
        <x:v>P1</x:v>
      </x:c>
      <x:c r="F2" s="13" t="str">
        <x:v>已修复</x:v>
      </x:c>
      <x:c r="G2" s="13" t="str">
        <x:v>v1.0</x:v>
      </x:c>
      <x:c r="H2" s="16" t="n">
        <x:v>46211</x:v>
      </x:c>
      <x:c r="I2" s="13" t="str">
        <x:v>打开登录注册页，后端服务正常启动</x:v>
      </x:c>
      <x:c r="J2" s="13" t="str">
        <x:v>1. 切换到注册页
2. 输入新用户名和密码
3. 点击注册</x:v>
      </x:c>
      <x:c r="K2" s="13" t="str">
        <x:v>提示注册成功，但仍停留在登录页，需要手动登录</x:v>
      </x:c>
      <x:c r="L2" s="13" t="str">
        <x:v>注册成功后自动保存 token 并进入内容页</x:v>
      </x:c>
      <x:c r="M2" s="13" t="str">
        <x:v>注册接口返回结构与登录接口不一致，前端没有正确提取 token</x:v>
      </x:c>
      <x:c r="N2" s="13" t="str">
        <x:v>统一 getToken 解析逻辑，注册成功后调用 saveLoginState 并跳转内容页</x:v>
      </x:c>
      <x:c r="O2" s="13" t="str">
        <x:v>张越</x:v>
      </x:c>
      <x:c r="P2" s="16" t="n">
        <x:v>46211</x:v>
      </x:c>
      <x:c r="Q2" s="13" t="str">
        <x:v>通过</x:v>
      </x:c>
      <x:c r="R2" s="13" t="str">
        <x:v>面试演示重点流程</x:v>
      </x:c>
    </x:row>
    <x:row r="3">
      <x:c r="A3" s="13" t="str">
        <x:v>BUG-002</x:v>
      </x:c>
      <x:c r="B3" s="13" t="str">
        <x:v>登录注册</x:v>
      </x:c>
      <x:c r="C3" s="13" t="str">
        <x:v>游客登录失败，提示未获取到 token</x:v>
      </x:c>
      <x:c r="D3" s="13" t="str">
        <x:v>高</x:v>
      </x:c>
      <x:c r="E3" s="13" t="str">
        <x:v>P1</x:v>
      </x:c>
      <x:c r="F3" s="13" t="str">
        <x:v>已修复</x:v>
      </x:c>
      <x:c r="G3" s="13" t="str">
        <x:v>v1.0</x:v>
      </x:c>
      <x:c r="H3" s="16" t="n">
        <x:v>46211</x:v>
      </x:c>
      <x:c r="I3" s="13" t="str">
        <x:v>打开登录页</x:v>
      </x:c>
      <x:c r="J3" s="13" t="str">
        <x:v>1. 点击游客登录
2. 观察页面提示</x:v>
      </x:c>
      <x:c r="K3" s="13" t="str">
        <x:v>弹窗提示“游客登录失败：未获取到 token”</x:v>
      </x:c>
      <x:c r="L3" s="13" t="str">
        <x:v>游客账号自动生成并进入系统</x:v>
      </x:c>
      <x:c r="M3" s="13" t="str">
        <x:v>游客登录请求返回值字段与前端 token 解析字段不一致</x:v>
      </x:c>
      <x:c r="N3" s="13" t="str">
        <x:v>补充游客登录兜底逻辑，统一保存 token 和 moodboard_current_user</x:v>
      </x:c>
      <x:c r="O3" s="13" t="str">
        <x:v>张越</x:v>
      </x:c>
      <x:c r="P3" s="16" t="n">
        <x:v>46211</x:v>
      </x:c>
      <x:c r="Q3" s="13" t="str">
        <x:v>通过</x:v>
      </x:c>
      <x:c r="R3" s="13" t="str">
        <x:v>已加入回归测试</x:v>
      </x:c>
    </x:row>
    <x:row r="4">
      <x:c r="A4" s="13" t="str">
        <x:v>BUG-003</x:v>
      </x:c>
      <x:c r="B4" s="13" t="str">
        <x:v>账号隔离</x:v>
      </x:c>
      <x:c r="C4" s="13" t="str">
        <x:v>不同账号可看到相同圆桌历史记录</x:v>
      </x:c>
      <x:c r="D4" s="13" t="str">
        <x:v>高</x:v>
      </x:c>
      <x:c r="E4" s="13" t="str">
        <x:v>P1</x:v>
      </x:c>
      <x:c r="F4" s="13" t="str">
        <x:v>已修复</x:v>
      </x:c>
      <x:c r="G4" s="13" t="str">
        <x:v>v1.0</x:v>
      </x:c>
      <x:c r="H4" s="16" t="n">
        <x:v>46211</x:v>
      </x:c>
      <x:c r="I4" s="13" t="str">
        <x:v>已存在两个测试账号</x:v>
      </x:c>
      <x:c r="J4" s="13" t="str">
        <x:v>1. 使用账号 A 创建圆桌记录
2. 退出登录
3. 使用账号 B 登录
4. 查看历史圆桌</x:v>
      </x:c>
      <x:c r="K4" s="13" t="str">
        <x:v>账号 B 可看到账号 A 的圆桌记录</x:v>
      </x:c>
      <x:c r="L4" s="13" t="str">
        <x:v>不同账号只能看到自己的圆桌记录</x:v>
      </x:c>
      <x:c r="M4" s="13" t="str">
        <x:v>localStorage 使用固定 key，没有拼接当前用户名</x:v>
      </x:c>
      <x:c r="N4" s="13" t="str">
        <x:v>将圆桌历史、RAG 存档、自定义 Agent 的本地存储 key 加上当前用户标识</x:v>
      </x:c>
      <x:c r="O4" s="13" t="str">
        <x:v>安姣凝</x:v>
      </x:c>
      <x:c r="P4" s="16" t="n">
        <x:v>46211</x:v>
      </x:c>
      <x:c r="Q4" s="13" t="str">
        <x:v>通过</x:v>
      </x:c>
      <x:c r="R4" s="13" t="str">
        <x:v>隐私与数据隔离问题</x:v>
      </x:c>
    </x:row>
    <x:row r="5">
      <x:c r="A5" s="13" t="str">
        <x:v>BUG-004</x:v>
      </x:c>
      <x:c r="B5" s="13" t="str">
        <x:v>页面导航</x:v>
      </x:c>
      <x:c r="C5" s="13" t="str">
        <x:v>登录后默认进入旧项目页面</x:v>
      </x:c>
      <x:c r="D5" s="13" t="str">
        <x:v>中</x:v>
      </x:c>
      <x:c r="E5" s="13" t="str">
        <x:v>P2</x:v>
      </x:c>
      <x:c r="F5" s="13" t="str">
        <x:v>已修复</x:v>
      </x:c>
      <x:c r="G5" s="13" t="str">
        <x:v>v1.1</x:v>
      </x:c>
      <x:c r="H5" s="16" t="n">
        <x:v>46212</x:v>
      </x:c>
      <x:c r="I5" s="13" t="str">
        <x:v>登录成功</x:v>
      </x:c>
      <x:c r="J5" s="13" t="str">
        <x:v>1. 输入正确账号密码
2. 点击登录
3. 查看进入页面</x:v>
      </x:c>
      <x:c r="K5" s="13" t="str">
        <x:v>进入旧情绪日记或圆桌页面</x:v>
      </x:c>
      <x:c r="L5" s="13" t="str">
        <x:v>默认进入内容选择页，显示两种剧本生成方式</x:v>
      </x:c>
      <x:c r="M5" s="13" t="str">
        <x:v>router 默认 redirect 和登录成功跳转地址未统一</x:v>
      </x:c>
      <x:c r="N5" s="13" t="str">
        <x:v>统一路由跳转为 /app/tree-hole?view=content，并让 contentMode 默认为 choice</x:v>
      </x:c>
      <x:c r="O5" s="13" t="str">
        <x:v>张越</x:v>
      </x:c>
      <x:c r="P5" s="16" t="n">
        <x:v>46212</x:v>
      </x:c>
      <x:c r="Q5" s="13" t="str">
        <x:v>通过</x:v>
      </x:c>
      <x:c r="R5" s="13" t="str"/>
    </x:row>
    <x:row r="6">
      <x:c r="A6" s="13" t="str">
        <x:v>BUG-005</x:v>
      </x:c>
      <x:c r="B6" s="13" t="str">
        <x:v>内容生产</x:v>
      </x:c>
      <x:c r="C6" s="13" t="str">
        <x:v>内容选择页误显示“先分析内容”和“生成剧本方案”按钮</x:v>
      </x:c>
      <x:c r="D6" s="13" t="str">
        <x:v>中</x:v>
      </x:c>
      <x:c r="E6" s="13" t="str">
        <x:v>P2</x:v>
      </x:c>
      <x:c r="F6" s="13" t="str">
        <x:v>已修复</x:v>
      </x:c>
      <x:c r="G6" s="13" t="str">
        <x:v>v1.1</x:v>
      </x:c>
      <x:c r="H6" s="16" t="n">
        <x:v>46212</x:v>
      </x:c>
      <x:c r="I6" s="13" t="str">
        <x:v>已登录并进入内容页</x:v>
      </x:c>
      <x:c r="J6" s="13" t="str">
        <x:v>1. 打开内容页
2. 查看两个选择卡片下方</x:v>
      </x:c>
      <x:c r="K6" s="13" t="str">
        <x:v>两个入口下方出现生成按钮，页面层级混乱</x:v>
      </x:c>
      <x:c r="L6" s="13" t="str">
        <x:v>选择页只展示“多 Agent 协助生成”和“直接生成方案”两个入口</x:v>
      </x:c>
      <x:c r="M6" s="13" t="str">
        <x:v>按钮区域放在 contentMode 条件外部</x:v>
      </x:c>
      <x:c r="N6" s="13" t="str">
        <x:v>将 actions-row 限制在 contentMode === 'direct' 时展示</x:v>
      </x:c>
      <x:c r="O6" s="13" t="str">
        <x:v>安姣凝</x:v>
      </x:c>
      <x:c r="P6" s="16" t="n">
        <x:v>46212</x:v>
      </x:c>
      <x:c r="Q6" s="13" t="str">
        <x:v>通过</x:v>
      </x:c>
      <x:c r="R6" s="13" t="str">
        <x:v>UI 体验问题</x:v>
      </x:c>
    </x:row>
    <x:row r="7">
      <x:c r="A7" s="13" t="str">
        <x:v>BUG-006</x:v>
      </x:c>
      <x:c r="B7" s="13" t="str">
        <x:v>内容生产</x:v>
      </x:c>
      <x:c r="C7" s="13" t="str">
        <x:v>具体需求输入框显示为普通文字</x:v>
      </x:c>
      <x:c r="D7" s="13" t="str">
        <x:v>高</x:v>
      </x:c>
      <x:c r="E7" s="13" t="str">
        <x:v>P1</x:v>
      </x:c>
      <x:c r="F7" s="13" t="str">
        <x:v>已修复</x:v>
      </x:c>
      <x:c r="G7" s="13" t="str">
        <x:v>v1.1</x:v>
      </x:c>
      <x:c r="H7" s="16" t="n">
        <x:v>46212</x:v>
      </x:c>
      <x:c r="I7" s="13" t="str">
        <x:v>进入直接生成方案页面</x:v>
      </x:c>
      <x:c r="J7" s="13" t="str">
        <x:v>1. 点击直接生成方案
2. 查看“具体需求”区域</x:v>
      </x:c>
      <x:c r="K7" s="13" t="str">
        <x:v>textarea 标签异常，页面显示多余文本和 /&gt; 符号</x:v>
      </x:c>
      <x:c r="L7" s="13" t="str">
        <x:v>显示可输入的大文本框</x:v>
      </x:c>
      <x:c r="M7" s="13" t="str">
        <x:v>Vue 模板中 textarea 使用了错误闭合方式，造成标签解析异常</x:v>
      </x:c>
      <x:c r="N7" s="13" t="str">
        <x:v>将 textarea 改为完整的 &lt;textarea&gt;&lt;/textarea&gt; 闭合结构</x:v>
      </x:c>
      <x:c r="O7" s="13" t="str">
        <x:v>张越</x:v>
      </x:c>
      <x:c r="P7" s="16" t="n">
        <x:v>46212</x:v>
      </x:c>
      <x:c r="Q7" s="13" t="str">
        <x:v>通过</x:v>
      </x:c>
      <x:c r="R7" s="13" t="str">
        <x:v>阻断直接生成流程</x:v>
      </x:c>
    </x:row>
    <x:row r="8">
      <x:c r="A8" s="13" t="str">
        <x:v>BUG-007</x:v>
      </x:c>
      <x:c r="B8" s="13" t="str">
        <x:v>Tool Calling</x:v>
      </x:c>
      <x:c r="C8" s="13" t="str">
        <x:v>点击“先分析内容”后结果均为未识别</x:v>
      </x:c>
      <x:c r="D8" s="13" t="str">
        <x:v>中</x:v>
      </x:c>
      <x:c r="E8" s="13" t="str">
        <x:v>P2</x:v>
      </x:c>
      <x:c r="F8" s="13" t="str">
        <x:v>已修复</x:v>
      </x:c>
      <x:c r="G8" s="13" t="str">
        <x:v>v1.1</x:v>
      </x:c>
      <x:c r="H8" s="16" t="n">
        <x:v>46212</x:v>
      </x:c>
      <x:c r="I8" s="13" t="str">
        <x:v>进入直接生成方案页并填写需求</x:v>
      </x:c>
      <x:c r="J8" s="13" t="str">
        <x:v>1. 输入追妻火葬场需求
2. 点击先分析内容
3. 查看分析结果</x:v>
      </x:c>
      <x:c r="K8" s="13" t="str">
        <x:v>冲突强度、情绪基调、标签均显示未识别</x:v>
      </x:c>
      <x:c r="L8" s="13" t="str">
        <x:v>应显示高冲突、虐恋/追悔/反转及相关标签</x:v>
      </x:c>
      <x:c r="M8" s="13" t="str">
        <x:v>后端返回字段与前端读取字段不一致，缺少字段兼容处理</x:v>
      </x:c>
      <x:c r="N8" s="13" t="str">
        <x:v>新增 normalizeToolResult 和前端兜底分析逻辑</x:v>
      </x:c>
      <x:c r="O8" s="13" t="str">
        <x:v>潘子彤</x:v>
      </x:c>
      <x:c r="P8" s="16" t="n">
        <x:v>46212</x:v>
      </x:c>
      <x:c r="Q8" s="13" t="str">
        <x:v>通过</x:v>
      </x:c>
      <x:c r="R8" s="13" t="str">
        <x:v>AI 应用专项测试覆盖</x:v>
      </x:c>
    </x:row>
    <x:row r="9">
      <x:c r="A9" s="13" t="str">
        <x:v>BUG-008</x:v>
      </x:c>
      <x:c r="B9" s="13" t="str">
        <x:v>内容生产</x:v>
      </x:c>
      <x:c r="C9" s="13" t="str">
        <x:v>直接生成与多 Agent 协助生成结果差异不明显</x:v>
      </x:c>
      <x:c r="D9" s="13" t="str">
        <x:v>中</x:v>
      </x:c>
      <x:c r="E9" s="13" t="str">
        <x:v>P2</x:v>
      </x:c>
      <x:c r="F9" s="13" t="str">
        <x:v>已修复</x:v>
      </x:c>
      <x:c r="G9" s="13" t="str">
        <x:v>v1.1</x:v>
      </x:c>
      <x:c r="H9" s="16" t="n">
        <x:v>46212</x:v>
      </x:c>
      <x:c r="I9" s="13" t="str">
        <x:v>两种生成方式均可使用</x:v>
      </x:c>
      <x:c r="J9" s="13" t="str">
        <x:v>1. 直接生成方案
2. 多 Agent 圆桌后带入生成
3. 对比输出</x:v>
      </x:c>
      <x:c r="K9" s="13" t="str">
        <x:v>两种结果结构接近，难以体现多 Agent 协作价值</x:v>
      </x:c>
      <x:c r="L9" s="13" t="str">
        <x:v>圆桌生成结果应包含圆桌结论、观点采纳和最终方案</x:v>
      </x:c>
      <x:c r="M9" s="13" t="str">
        <x:v>两种模式使用了相近的最终 Prompt</x:v>
      </x:c>
      <x:c r="N9" s="13" t="str">
        <x:v>区分直接生成 Prompt 和圆桌总结 Prompt，增加观点采纳结构</x:v>
      </x:c>
      <x:c r="O9" s="13" t="str">
        <x:v>张越</x:v>
      </x:c>
      <x:c r="P9" s="16" t="n">
        <x:v>46212</x:v>
      </x:c>
      <x:c r="Q9" s="13" t="str">
        <x:v>通过</x:v>
      </x:c>
      <x:c r="R9" s="13" t="str">
        <x:v>面试展示重点</x:v>
      </x:c>
    </x:row>
    <x:row r="10">
      <x:c r="A10" s="13" t="str">
        <x:v>BUG-009</x:v>
      </x:c>
      <x:c r="B10" s="13" t="str">
        <x:v>多 Agent 圆桌</x:v>
      </x:c>
      <x:c r="C10" s="13" t="str">
        <x:v>选择超过 4 个 Agent 时缺少限制</x:v>
      </x:c>
      <x:c r="D10" s="13" t="str">
        <x:v>中</x:v>
      </x:c>
      <x:c r="E10" s="13" t="str">
        <x:v>P2</x:v>
      </x:c>
      <x:c r="F10" s="13" t="str">
        <x:v>已修复</x:v>
      </x:c>
      <x:c r="G10" s="13" t="str">
        <x:v>v1.0</x:v>
      </x:c>
      <x:c r="H10" s="16" t="n">
        <x:v>46211</x:v>
      </x:c>
      <x:c r="I10" s="13" t="str">
        <x:v>进入多 Agent 协助生成页</x:v>
      </x:c>
      <x:c r="J10" s="13" t="str">
        <x:v>1. 连续选择 5 个 Agent
2. 查看已选数量</x:v>
      </x:c>
      <x:c r="K10" s="13" t="str">
        <x:v>可继续选择超过 4 个 Agent</x:v>
      </x:c>
      <x:c r="L10" s="13" t="str">
        <x:v>系统提示最多选择 4 个 Agent</x:v>
      </x:c>
      <x:c r="M10" s="13" t="str">
        <x:v>前端 toggleAgent 未做上限判断</x:v>
      </x:c>
      <x:c r="N10" s="13" t="str">
        <x:v>增加 selectedAgentCodes.length &gt;= 4 校验和 alert 提示</x:v>
      </x:c>
      <x:c r="O10" s="13" t="str">
        <x:v>安姣凝</x:v>
      </x:c>
      <x:c r="P10" s="16" t="n">
        <x:v>46211</x:v>
      </x:c>
      <x:c r="Q10" s="13" t="str">
        <x:v>通过</x:v>
      </x:c>
      <x:c r="R10" s="13" t="str"/>
    </x:row>
    <x:row r="11">
      <x:c r="A11" s="13" t="str">
        <x:v>BUG-010</x:v>
      </x:c>
      <x:c r="B11" s="13" t="str">
        <x:v>多 Agent 圆桌</x:v>
      </x:c>
      <x:c r="C11" s="13" t="str">
        <x:v>少于 2 个 Agent 仍可尝试开始圆桌</x:v>
      </x:c>
      <x:c r="D11" s="13" t="str">
        <x:v>中</x:v>
      </x:c>
      <x:c r="E11" s="13" t="str">
        <x:v>P2</x:v>
      </x:c>
      <x:c r="F11" s="13" t="str">
        <x:v>已修复</x:v>
      </x:c>
      <x:c r="G11" s="13" t="str">
        <x:v>v1.0</x:v>
      </x:c>
      <x:c r="H11" s="16" t="n">
        <x:v>46211</x:v>
      </x:c>
      <x:c r="I11" s="13" t="str">
        <x:v>进入多 Agent 协助生成页</x:v>
      </x:c>
      <x:c r="J11" s="13" t="str">
        <x:v>1. 只选择 1 个 Agent
2. 点击开始圆桌讨论</x:v>
      </x:c>
      <x:c r="K11" s="13" t="str">
        <x:v>请求被发出或提示不明确</x:v>
      </x:c>
      <x:c r="L11" s="13" t="str">
        <x:v>系统提示至少选择 2 个 Agent</x:v>
      </x:c>
      <x:c r="M11" s="13" t="str">
        <x:v>前端提交前未校验最小数量</x:v>
      </x:c>
      <x:c r="N11" s="13" t="str">
        <x:v>runRoundtable 前增加 2-4 个 Agent 校验</x:v>
      </x:c>
      <x:c r="O11" s="13" t="str">
        <x:v>安姣凝</x:v>
      </x:c>
      <x:c r="P11" s="16" t="n">
        <x:v>46211</x:v>
      </x:c>
      <x:c r="Q11" s="13" t="str">
        <x:v>通过</x:v>
      </x:c>
      <x:c r="R11" s="13" t="str"/>
    </x:row>
    <x:row r="12">
      <x:c r="A12" s="13" t="str">
        <x:v>BUG-011</x:v>
      </x:c>
      <x:c r="B12" s="13" t="str">
        <x:v>多 Agent 圆桌</x:v>
      </x:c>
      <x:c r="C12" s="13" t="str">
        <x:v>圆桌总结带入后仍沿用旧 Tool Calling 结果</x:v>
      </x:c>
      <x:c r="D12" s="13" t="str">
        <x:v>中</x:v>
      </x:c>
      <x:c r="E12" s="13" t="str">
        <x:v>P2</x:v>
      </x:c>
      <x:c r="F12" s="13" t="str">
        <x:v>已修复</x:v>
      </x:c>
      <x:c r="G12" s="13" t="str">
        <x:v>v1.1</x:v>
      </x:c>
      <x:c r="H12" s="16" t="n">
        <x:v>46212</x:v>
      </x:c>
      <x:c r="I12" s="13" t="str">
        <x:v>先直接分析一次内容，再走圆桌流程</x:v>
      </x:c>
      <x:c r="J12" s="13" t="str">
        <x:v>1. 点击先分析内容
2. 进入圆桌并生成总结
3. 点击带入剧本生成
4. 生成最终方案</x:v>
      </x:c>
      <x:c r="K12" s="13" t="str">
        <x:v>最终方案可能使用上一次旧分析结果</x:v>
      </x:c>
      <x:c r="L12" s="13" t="str">
        <x:v>带入圆桌总结后应重新分析“用户需求 + 圆桌总结”</x:v>
      </x:c>
      <x:c r="M12" s="13" t="str">
        <x:v>applyRoundtableToContent 未清空旧 toolResult</x:v>
      </x:c>
      <x:c r="N12" s="13" t="str">
        <x:v>带入总结时清空 toolResult 和 scriptResult</x:v>
      </x:c>
      <x:c r="O12" s="13" t="str">
        <x:v>张越</x:v>
      </x:c>
      <x:c r="P12" s="16" t="n">
        <x:v>46212</x:v>
      </x:c>
      <x:c r="Q12" s="13" t="str">
        <x:v>通过</x:v>
      </x:c>
      <x:c r="R12" s="13" t="str"/>
    </x:row>
    <x:row r="13">
      <x:c r="A13" s="13" t="str">
        <x:v>BUG-012</x:v>
      </x:c>
      <x:c r="B13" s="13" t="str">
        <x:v>多 Agent 圆桌</x:v>
      </x:c>
      <x:c r="C13" s="13" t="str">
        <x:v>Agent 卡片模板语法错误导致页面编译失败</x:v>
      </x:c>
      <x:c r="D13" s="13" t="str">
        <x:v>高</x:v>
      </x:c>
      <x:c r="E13" s="13" t="str">
        <x:v>P1</x:v>
      </x:c>
      <x:c r="F13" s="13" t="str">
        <x:v>已修复</x:v>
      </x:c>
      <x:c r="G13" s="13" t="str">
        <x:v>v1.1</x:v>
      </x:c>
      <x:c r="H13" s="16" t="n">
        <x:v>46212</x:v>
      </x:c>
      <x:c r="I13" s="13" t="str">
        <x:v>修改 TreeHolePage.vue 后保存</x:v>
      </x:c>
      <x:c r="J13" s="13" t="str">
        <x:v>1. 打开圆桌页
2. 保存前端文件
3. 查看 Vite 报错</x:v>
      </x:c>
      <x:c r="K13" s="13" t="str">
        <x:v>页面提示 template 编译失败，出现 ${agent.name} 等错误写法</x:v>
      </x:c>
      <x:c r="L13" s="13" t="str">
        <x:v>Agent 卡片正常渲染</x:v>
      </x:c>
      <x:c r="M13" s="13" t="str">
        <x:v>Vue 模板中误用了 JS 模板字符串语法</x:v>
      </x:c>
      <x:c r="N13" s="13" t="str">
        <x:v>改为 Vue 插值语法 {{ agent.name }}，并重写 agent-grid 区块</x:v>
      </x:c>
      <x:c r="O13" s="13" t="str">
        <x:v>张越</x:v>
      </x:c>
      <x:c r="P13" s="16" t="n">
        <x:v>46212</x:v>
      </x:c>
      <x:c r="Q13" s="13" t="str">
        <x:v>通过</x:v>
      </x:c>
      <x:c r="R13" s="13" t="str">
        <x:v>高频前端错误</x:v>
      </x:c>
    </x:row>
    <x:row r="14">
      <x:c r="A14" s="13" t="str">
        <x:v>BUG-013</x:v>
      </x:c>
      <x:c r="B14" s="13" t="str">
        <x:v>多 Agent 圆桌</x:v>
      </x:c>
      <x:c r="C14" s="13" t="str">
        <x:v>16 型人格 Agent 数组格式错误</x:v>
      </x:c>
      <x:c r="D14" s="13" t="str">
        <x:v>高</x:v>
      </x:c>
      <x:c r="E14" s="13" t="str">
        <x:v>P1</x:v>
      </x:c>
      <x:c r="F14" s="13" t="str">
        <x:v>已修复</x:v>
      </x:c>
      <x:c r="G14" s="13" t="str">
        <x:v>v1.1</x:v>
      </x:c>
      <x:c r="H14" s="16" t="n">
        <x:v>46212</x:v>
      </x:c>
      <x:c r="I14" s="13" t="str">
        <x:v>修改 MBTI Agent 列表后</x:v>
      </x:c>
      <x:c r="J14" s="13" t="str">
        <x:v>1. 保存 TreeHolePage.vue
2. 查看 Problems 面板</x:v>
      </x:c>
      <x:c r="K14" s="13" t="str">
        <x:v>数组中出现重复对象、字段断裂、source 位置异常</x:v>
      </x:c>
      <x:c r="L14" s="13" t="str">
        <x:v>16 型人格列表正常渲染</x:v>
      </x:c>
      <x:c r="M14" s="13" t="str">
        <x:v>复制粘贴时对象结构被破坏</x:v>
      </x:c>
      <x:c r="N14" s="13" t="str">
        <x:v>整体重写 mbtiAgents 数组，确保每个对象字段完整</x:v>
      </x:c>
      <x:c r="O14" s="13" t="str">
        <x:v>张越</x:v>
      </x:c>
      <x:c r="P14" s="16" t="n">
        <x:v>46212</x:v>
      </x:c>
      <x:c r="Q14" s="13" t="str">
        <x:v>通过</x:v>
      </x:c>
      <x:c r="R14" s="13" t="str"/>
    </x:row>
    <x:row r="15">
      <x:c r="A15" s="13" t="str">
        <x:v>BUG-014</x:v>
      </x:c>
      <x:c r="B15" s="13" t="str">
        <x:v>自定义 Agent</x:v>
      </x:c>
      <x:c r="C15" s="13" t="str">
        <x:v>自定义 Agent 保存后未自动加入圆桌</x:v>
      </x:c>
      <x:c r="D15" s="13" t="str">
        <x:v>低</x:v>
      </x:c>
      <x:c r="E15" s="13" t="str">
        <x:v>P3</x:v>
      </x:c>
      <x:c r="F15" s="13" t="str">
        <x:v>已修复</x:v>
      </x:c>
      <x:c r="G15" s="13" t="str">
        <x:v>v1.0</x:v>
      </x:c>
      <x:c r="H15" s="16" t="n">
        <x:v>46211</x:v>
      </x:c>
      <x:c r="I15" s="13" t="str">
        <x:v>进入圆桌页，打开新建人格/角色</x:v>
      </x:c>
      <x:c r="J15" s="13" t="str">
        <x:v>1. 填写角色名称、参考人格、性别、角色设定
2. 点击保存并加入圆桌</x:v>
      </x:c>
      <x:c r="K15" s="13" t="str">
        <x:v>自定义 Agent 创建成功但未自动选中</x:v>
      </x:c>
      <x:c r="L15" s="13" t="str">
        <x:v>保存后自动加入已选 Agent 列表</x:v>
      </x:c>
      <x:c r="M15" s="13" t="str">
        <x:v>保存逻辑只更新 customAgents，没有同步 selectedAgentCodes</x:v>
      </x:c>
      <x:c r="N15" s="13" t="str">
        <x:v>保存后将新 Agent code 写入 selectedAgentCodes</x:v>
      </x:c>
      <x:c r="O15" s="13" t="str">
        <x:v>潘子彤</x:v>
      </x:c>
      <x:c r="P15" s="16" t="n">
        <x:v>46211</x:v>
      </x:c>
      <x:c r="Q15" s="13" t="str">
        <x:v>通过</x:v>
      </x:c>
      <x:c r="R15" s="13" t="str"/>
    </x:row>
    <x:row r="16">
      <x:c r="A16" s="13" t="str">
        <x:v>BUG-015</x:v>
      </x:c>
      <x:c r="B16" s="13" t="str">
        <x:v>自定义 Agent</x:v>
      </x:c>
      <x:c r="C16" s="13" t="str">
        <x:v>删除自定义 Agent 后已选数量未同步变化</x:v>
      </x:c>
      <x:c r="D16" s="13" t="str">
        <x:v>低</x:v>
      </x:c>
      <x:c r="E16" s="13" t="str">
        <x:v>P3</x:v>
      </x:c>
      <x:c r="F16" s="13" t="str">
        <x:v>已修复</x:v>
      </x:c>
      <x:c r="G16" s="13" t="str">
        <x:v>v1.0</x:v>
      </x:c>
      <x:c r="H16" s="16" t="n">
        <x:v>46211</x:v>
      </x:c>
      <x:c r="I16" s="13" t="str">
        <x:v>已创建并选中自定义 Agent</x:v>
      </x:c>
      <x:c r="J16" s="13" t="str">
        <x:v>1. 点击自定义 Agent 删除按钮
2. 查看已选数量</x:v>
      </x:c>
      <x:c r="K16" s="13" t="str">
        <x:v>Agent 从列表移除，但已选数量仍异常</x:v>
      </x:c>
      <x:c r="L16" s="13" t="str">
        <x:v>删除后同步移除已选状态</x:v>
      </x:c>
      <x:c r="M16" s="13" t="str">
        <x:v>deleteCustomAgent 未同步过滤 selectedAgentCodes</x:v>
      </x:c>
      <x:c r="N16" s="13" t="str">
        <x:v>删除时同时过滤 customAgents 和 selectedAgentCodes</x:v>
      </x:c>
      <x:c r="O16" s="13" t="str">
        <x:v>潘子彤</x:v>
      </x:c>
      <x:c r="P16" s="16" t="n">
        <x:v>46211</x:v>
      </x:c>
      <x:c r="Q16" s="13" t="str">
        <x:v>通过</x:v>
      </x:c>
      <x:c r="R16" s="13" t="str"/>
    </x:row>
    <x:row r="17">
      <x:c r="A17" s="13" t="str">
        <x:v>BUG-016</x:v>
      </x:c>
      <x:c r="B17" s="13" t="str">
        <x:v>RAG 知识库</x:v>
      </x:c>
      <x:c r="C17" s="13" t="str">
        <x:v>知识库问答返回结果为空</x:v>
      </x:c>
      <x:c r="D17" s="13" t="str">
        <x:v>中</x:v>
      </x:c>
      <x:c r="E17" s="13" t="str">
        <x:v>P2</x:v>
      </x:c>
      <x:c r="F17" s="13" t="str">
        <x:v>已修复</x:v>
      </x:c>
      <x:c r="G17" s="13" t="str">
        <x:v>v1.0</x:v>
      </x:c>
      <x:c r="H17" s="16" t="n">
        <x:v>46211</x:v>
      </x:c>
      <x:c r="I17" s="13" t="str">
        <x:v>进入知识库页</x:v>
      </x:c>
      <x:c r="J17" s="13" t="str">
        <x:v>1. 输入“追妻火葬场题材怎么设计强冲突开场？”
2. 点击 RAG 生成回答</x:v>
      </x:c>
      <x:c r="K17" s="13" t="str">
        <x:v>回答为空或命中 0 条</x:v>
      </x:c>
      <x:c r="L17" s="13" t="str">
        <x:v>返回知识增强回答和命中片段</x:v>
      </x:c>
      <x:c r="M17" s="13" t="str">
        <x:v>knowledge_chunk 表内容不足或未初始化</x:v>
      </x:c>
      <x:c r="N17" s="13" t="str">
        <x:v>补充 ContentKnowledgeInitializer 知识片段，并检查 H2 表数据</x:v>
      </x:c>
      <x:c r="O17" s="13" t="str">
        <x:v>安姣凝</x:v>
      </x:c>
      <x:c r="P17" s="16" t="n">
        <x:v>46211</x:v>
      </x:c>
      <x:c r="Q17" s="13" t="str">
        <x:v>通过</x:v>
      </x:c>
      <x:c r="R17" s="13" t="str">
        <x:v>可在 H2 Console 验证</x:v>
      </x:c>
    </x:row>
    <x:row r="18">
      <x:c r="A18" s="13" t="str">
        <x:v>BUG-017</x:v>
      </x:c>
      <x:c r="B18" s="13" t="str">
        <x:v>RAG 知识库</x:v>
      </x:c>
      <x:c r="C18" s="13" t="str">
        <x:v>RAG 问答存档未按账号隔离</x:v>
      </x:c>
      <x:c r="D18" s="13" t="str">
        <x:v>中</x:v>
      </x:c>
      <x:c r="E18" s="13" t="str">
        <x:v>P2</x:v>
      </x:c>
      <x:c r="F18" s="13" t="str">
        <x:v>已修复</x:v>
      </x:c>
      <x:c r="G18" s="13" t="str">
        <x:v>v1.1</x:v>
      </x:c>
      <x:c r="H18" s="16" t="n">
        <x:v>46212</x:v>
      </x:c>
      <x:c r="I18" s="13" t="str">
        <x:v>准备两个账号</x:v>
      </x:c>
      <x:c r="J18" s="13" t="str">
        <x:v>1. 账号 A 存档 RAG 问答
2. 账号 B 登录查看存档</x:v>
      </x:c>
      <x:c r="K18" s="13" t="str">
        <x:v>账号 B 可看到账号 A 的存档</x:v>
      </x:c>
      <x:c r="L18" s="13" t="str">
        <x:v>不同账号只能看到自己的存档</x:v>
      </x:c>
      <x:c r="M18" s="13" t="str">
        <x:v>RAG 存档使用固定 localStorage key</x:v>
      </x:c>
      <x:c r="N18" s="13" t="str">
        <x:v>存档 key 拼接 moodboard_current_user</x:v>
      </x:c>
      <x:c r="O18" s="13" t="str">
        <x:v>安姣凝</x:v>
      </x:c>
      <x:c r="P18" s="16" t="n">
        <x:v>46212</x:v>
      </x:c>
      <x:c r="Q18" s="13" t="str">
        <x:v>通过</x:v>
      </x:c>
      <x:c r="R18" s="13" t="str"/>
    </x:row>
    <x:row r="19">
      <x:c r="A19" s="13" t="str">
        <x:v>BUG-018</x:v>
      </x:c>
      <x:c r="B19" s="13" t="str">
        <x:v>RAG 知识库</x:v>
      </x:c>
      <x:c r="C19" s="13" t="str">
        <x:v>RAG 问答存档删除后页面未及时刷新</x:v>
      </x:c>
      <x:c r="D19" s="13" t="str">
        <x:v>低</x:v>
      </x:c>
      <x:c r="E19" s="13" t="str">
        <x:v>P3</x:v>
      </x:c>
      <x:c r="F19" s="13" t="str">
        <x:v>已修复</x:v>
      </x:c>
      <x:c r="G19" s="13" t="str">
        <x:v>v1.1</x:v>
      </x:c>
      <x:c r="H19" s="16" t="n">
        <x:v>46212</x:v>
      </x:c>
      <x:c r="I19" s="13" t="str">
        <x:v>已有 RAG 存档记录</x:v>
      </x:c>
      <x:c r="J19" s="13" t="str">
        <x:v>1. 点击删除
2. 查看列表</x:v>
      </x:c>
      <x:c r="K19" s="13" t="str">
        <x:v>删除后列表仍显示旧数据，刷新后才消失</x:v>
      </x:c>
      <x:c r="L19" s="13" t="str">
        <x:v>点击删除后立即从页面移除</x:v>
      </x:c>
      <x:c r="M19" s="13" t="str">
        <x:v>删除后未同步更新响应式数组</x:v>
      </x:c>
      <x:c r="N19" s="13" t="str">
        <x:v>deleteRagArchive 中过滤 ragArchives 并重新保存 localStorage</x:v>
      </x:c>
      <x:c r="O19" s="13" t="str">
        <x:v>潘子彤</x:v>
      </x:c>
      <x:c r="P19" s="16" t="n">
        <x:v>46212</x:v>
      </x:c>
      <x:c r="Q19" s="13" t="str">
        <x:v>通过</x:v>
      </x:c>
      <x:c r="R19" s="13" t="str"/>
    </x:row>
    <x:row r="20">
      <x:c r="A20" s="13" t="str">
        <x:v>BUG-019</x:v>
      </x:c>
      <x:c r="B20" s="13" t="str">
        <x:v>Memory 记忆</x:v>
      </x:c>
      <x:c r="C20" s="13" t="str">
        <x:v>Memory 更新后页面无明显反馈</x:v>
      </x:c>
      <x:c r="D20" s="13" t="str">
        <x:v>低</x:v>
      </x:c>
      <x:c r="E20" s="13" t="str">
        <x:v>P3</x:v>
      </x:c>
      <x:c r="F20" s="13" t="str">
        <x:v>已修复</x:v>
      </x:c>
      <x:c r="G20" s="13" t="str">
        <x:v>v1.1</x:v>
      </x:c>
      <x:c r="H20" s="16" t="n">
        <x:v>46212</x:v>
      </x:c>
      <x:c r="I20" s="13" t="str">
        <x:v>完成一次圆桌讨论</x:v>
      </x:c>
      <x:c r="J20" s="13" t="str">
        <x:v>1. 生成圆桌总结
2. 查看 Memory 展示区域或接口</x:v>
      </x:c>
      <x:c r="K20" s="13" t="str">
        <x:v>用户不清楚是否已记录记忆</x:v>
      </x:c>
      <x:c r="L20" s="13" t="str">
        <x:v>可以在我的页面或接口查看最近记忆摘要</x:v>
      </x:c>
      <x:c r="M20" s="13" t="str">
        <x:v>前端未提供清晰展示入口</x:v>
      </x:c>
      <x:c r="N20" s="13" t="str">
        <x:v>在项目文档和我的页面中补充 Memory 能力说明，保留接口验证</x:v>
      </x:c>
      <x:c r="O20" s="13" t="str">
        <x:v>组内共同</x:v>
      </x:c>
      <x:c r="P20" s="16" t="n">
        <x:v>46212</x:v>
      </x:c>
      <x:c r="Q20" s="13" t="str">
        <x:v>通过</x:v>
      </x:c>
      <x:c r="R20" s="13" t="str">
        <x:v>功能可用，展示简化</x:v>
      </x:c>
    </x:row>
    <x:row r="21">
      <x:c r="A21" s="13" t="str">
        <x:v>BUG-020</x:v>
      </x:c>
      <x:c r="B21" s="13" t="str">
        <x:v>页面导航</x:v>
      </x:c>
      <x:c r="C21" s="13" t="str">
        <x:v>底部导航仍保留旧“圆桌”独立入口</x:v>
      </x:c>
      <x:c r="D21" s="13" t="str">
        <x:v>低</x:v>
      </x:c>
      <x:c r="E21" s="13" t="str">
        <x:v>P3</x:v>
      </x:c>
      <x:c r="F21" s="13" t="str">
        <x:v>已修复</x:v>
      </x:c>
      <x:c r="G21" s="13" t="str">
        <x:v>v1.1</x:v>
      </x:c>
      <x:c r="H21" s="16" t="n">
        <x:v>46212</x:v>
      </x:c>
      <x:c r="I21" s="13" t="str">
        <x:v>打开系统任意页面</x:v>
      </x:c>
      <x:c r="J21" s="13" t="str">
        <x:v>1. 查看底部导航
2. 点击各导航项</x:v>
      </x:c>
      <x:c r="K21" s="13" t="str">
        <x:v>底部导航包含独立圆桌入口，和内容页功能重复</x:v>
      </x:c>
      <x:c r="L21" s="13" t="str">
        <x:v>只保留内容、知识库、我的</x:v>
      </x:c>
      <x:c r="M21" s="13" t="str">
        <x:v>页面结构调整后未同步 MainLayout</x:v>
      </x:c>
      <x:c r="N21" s="13" t="str">
        <x:v>修改 MainLayout.vue，圆桌作为内容页内的生成方式</x:v>
      </x:c>
      <x:c r="O21" s="13" t="str">
        <x:v>安姣凝</x:v>
      </x:c>
      <x:c r="P21" s="16" t="n">
        <x:v>46212</x:v>
      </x:c>
      <x:c r="Q21" s="13" t="str">
        <x:v>通过</x:v>
      </x:c>
      <x:c r="R21" s="13" t="str"/>
    </x:row>
    <x:row r="22">
      <x:c r="A22" s="13" t="str">
        <x:v>BUG-021</x:v>
      </x:c>
      <x:c r="B22" s="13" t="str">
        <x:v>项目文档</x:v>
      </x:c>
      <x:c r="C22" s="13" t="str">
        <x:v>README 中残留 MoodBoard × MBTI 旧项目描述</x:v>
      </x:c>
      <x:c r="D22" s="13" t="str">
        <x:v>低</x:v>
      </x:c>
      <x:c r="E22" s="13" t="str">
        <x:v>P3</x:v>
      </x:c>
      <x:c r="F22" s="13" t="str">
        <x:v>已修复</x:v>
      </x:c>
      <x:c r="G22" s="13" t="str">
        <x:v>v1.1</x:v>
      </x:c>
      <x:c r="H22" s="16" t="n">
        <x:v>46212</x:v>
      </x:c>
      <x:c r="I22" s="13" t="str">
        <x:v>打开 README.md</x:v>
      </x:c>
      <x:c r="J22" s="13" t="str">
        <x:v>1. 搜索 MoodBoard、情绪日记、树洞等关键词</x:v>
      </x:c>
      <x:c r="K22" s="13" t="str">
        <x:v>文档中仍出现旧项目定位</x:v>
      </x:c>
      <x:c r="L22" s="13" t="str">
        <x:v>统一为 AI Agent 多角色圆桌对谈与剧本生成系统</x:v>
      </x:c>
      <x:c r="M22" s="13" t="str">
        <x:v>项目由旧短学期项目改造，文档未同步</x:v>
      </x:c>
      <x:c r="N22" s="13" t="str">
        <x:v>重写 README，突出 Agent、RAG、Memory、Tool Calling 和剧本生成</x:v>
      </x:c>
      <x:c r="O22" s="13" t="str">
        <x:v>组内共同</x:v>
      </x:c>
      <x:c r="P22" s="16" t="n">
        <x:v>46212</x:v>
      </x:c>
      <x:c r="Q22" s="13" t="str">
        <x:v>通过</x:v>
      </x:c>
      <x:c r="R22" s="13" t="str">
        <x:v>面试前必须检查</x:v>
      </x:c>
    </x:row>
    <x:row r="23">
      <x:c r="A23" s="13" t="str">
        <x:v>BUG-022</x:v>
      </x:c>
      <x:c r="B23" s="13" t="str">
        <x:v>项目文档</x:v>
      </x:c>
      <x:c r="C23" s="13" t="str">
        <x:v>测试文档仍有 xlsx 与 md 混用</x:v>
      </x:c>
      <x:c r="D23" s="13" t="str">
        <x:v>低</x:v>
      </x:c>
      <x:c r="E23" s="13" t="str">
        <x:v>P3</x:v>
      </x:c>
      <x:c r="F23" s="13" t="str">
        <x:v>已修复</x:v>
      </x:c>
      <x:c r="G23" s="13" t="str">
        <x:v>v1.1</x:v>
      </x:c>
      <x:c r="H23" s="16" t="n">
        <x:v>46212</x:v>
      </x:c>
      <x:c r="I23" s="13" t="str">
        <x:v>查看 docs 目录</x:v>
      </x:c>
      <x:c r="J23" s="13" t="str">
        <x:v>1. 查看测试计划、用例、Bug 表、总结等文件</x:v>
      </x:c>
      <x:c r="K23" s="13" t="str">
        <x:v>部分文档为 Excel，部分为 Markdown，格式不统一</x:v>
      </x:c>
      <x:c r="L23" s="13" t="str">
        <x:v>按需要保留 Excel 表，核心说明文档使用 Markdown</x:v>
      </x:c>
      <x:c r="M23" s="13" t="str">
        <x:v>测试文档多次迭代，格式未统一</x:v>
      </x:c>
      <x:c r="N23" s="13" t="str">
        <x:v>重新生成新版功能测试用例表和 Bug 记录表，并同步 README 文档列表</x:v>
      </x:c>
      <x:c r="O23" s="13" t="str">
        <x:v>组内共同</x:v>
      </x:c>
      <x:c r="P23" s="16" t="n">
        <x:v>46212</x:v>
      </x:c>
      <x:c r="Q23" s="13" t="str">
        <x:v>通过</x:v>
      </x:c>
      <x:c r="R23" s="13" t="str"/>
    </x:row>
    <x:row r="24">
      <x:c r="A24" s="13" t="str">
        <x:v>BUG-023</x:v>
      </x:c>
      <x:c r="B24" s="13" t="str">
        <x:v>GitHub 提交</x:v>
      </x:c>
      <x:c r="C24" s="13" t="str">
        <x:v>pycache 和 pytest 缓存文件被提交</x:v>
      </x:c>
      <x:c r="D24" s="13" t="str">
        <x:v>低</x:v>
      </x:c>
      <x:c r="E24" s="13" t="str">
        <x:v>P3</x:v>
      </x:c>
      <x:c r="F24" s="13" t="str">
        <x:v>已修复</x:v>
      </x:c>
      <x:c r="G24" s="13" t="str">
        <x:v>v1.1</x:v>
      </x:c>
      <x:c r="H24" s="16" t="n">
        <x:v>46212</x:v>
      </x:c>
      <x:c r="I24" s="13" t="str">
        <x:v>运行 pytest 后查看 git status</x:v>
      </x:c>
      <x:c r="J24" s="13" t="str">
        <x:v>1. 执行自动化测试
2. git status</x:v>
      </x:c>
      <x:c r="K24" s="13" t="str">
        <x:v>出现 tests/__pycache__ 和 .pytest_cache 等缓存文件</x:v>
      </x:c>
      <x:c r="L24" s="13" t="str">
        <x:v>缓存文件不应提交到 GitHub</x:v>
      </x:c>
      <x:c r="M24" s="13" t="str">
        <x:v>.gitignore 未覆盖 Python 缓存</x:v>
      </x:c>
      <x:c r="N24" s="13" t="str">
        <x:v>更新 .gitignore 并执行 git rm -r --cached tests/__pycache__</x:v>
      </x:c>
      <x:c r="O24" s="13" t="str">
        <x:v>张越</x:v>
      </x:c>
      <x:c r="P24" s="16" t="n">
        <x:v>46212</x:v>
      </x:c>
      <x:c r="Q24" s="13" t="str">
        <x:v>通过</x:v>
      </x:c>
      <x:c r="R24" s="13" t="str"/>
    </x:row>
    <x:row r="25">
      <x:c r="A25" s="13" t="str">
        <x:v>BUG-024</x:v>
      </x:c>
      <x:c r="B25" s="13" t="str">
        <x:v>接口联调</x:v>
      </x:c>
      <x:c r="C25" s="13" t="str">
        <x:v>后端端口与短学期旧项目冲突</x:v>
      </x:c>
      <x:c r="D25" s="13" t="str">
        <x:v>中</x:v>
      </x:c>
      <x:c r="E25" s="13" t="str">
        <x:v>P2</x:v>
      </x:c>
      <x:c r="F25" s="13" t="str">
        <x:v>已修复</x:v>
      </x:c>
      <x:c r="G25" s="13" t="str">
        <x:v>v1.1</x:v>
      </x:c>
      <x:c r="H25" s="16" t="n">
        <x:v>46212</x:v>
      </x:c>
      <x:c r="I25" s="13" t="str">
        <x:v>同时打开旧项目和新项目</x:v>
      </x:c>
      <x:c r="J25" s="13" t="str">
        <x:v>1. 启动旧项目后端
2. 启动新项目后端</x:v>
      </x:c>
      <x:c r="K25" s="13" t="str">
        <x:v>端口被占用，新项目启动失败</x:v>
      </x:c>
      <x:c r="L25" s="13" t="str">
        <x:v>新旧项目可分别启动，不互相冲突</x:v>
      </x:c>
      <x:c r="M25" s="13" t="str">
        <x:v>两个项目使用相同后端端口</x:v>
      </x:c>
      <x:c r="N25" s="13" t="str">
        <x:v>新项目后端统一使用 8889，前端使用 5174，Vite proxy 指向 8889</x:v>
      </x:c>
      <x:c r="O25" s="13" t="str">
        <x:v>张越</x:v>
      </x:c>
      <x:c r="P25" s="16" t="n">
        <x:v>46212</x:v>
      </x:c>
      <x:c r="Q25" s="13" t="str">
        <x:v>通过</x:v>
      </x:c>
      <x:c r="R25" s="13" t="str"/>
    </x:row>
    <x:row r="26">
      <x:c r="A26" s="13" t="str">
        <x:v>BUG-025</x:v>
      </x:c>
      <x:c r="B26" s="13" t="str">
        <x:v>自动化测试</x:v>
      </x:c>
      <x:c r="C26" s="13" t="str">
        <x:v>pytest 命令无法识别</x:v>
      </x:c>
      <x:c r="D26" s="13" t="str">
        <x:v>中</x:v>
      </x:c>
      <x:c r="E26" s="13" t="str">
        <x:v>P2</x:v>
      </x:c>
      <x:c r="F26" s="13" t="str">
        <x:v>已修复</x:v>
      </x:c>
      <x:c r="G26" s="13" t="str">
        <x:v>v1.1</x:v>
      </x:c>
      <x:c r="H26" s="16" t="n">
        <x:v>46212</x:v>
      </x:c>
      <x:c r="I26" s="13" t="str">
        <x:v>已安装 Python 依赖</x:v>
      </x:c>
      <x:c r="J26" s="13" t="str">
        <x:v>1. 在终端执行 pytest tests/test_api_pytest.py</x:v>
      </x:c>
      <x:c r="K26" s="13" t="str">
        <x:v>提示 pytest 不是内部或外部命令</x:v>
      </x:c>
      <x:c r="L26" s="13" t="str">
        <x:v>能正常执行自动化测试</x:v>
      </x:c>
      <x:c r="M26" s="13" t="str">
        <x:v>Scripts 目录未加入 PATH</x:v>
      </x:c>
      <x:c r="N26" s="13" t="str">
        <x:v>改用 python -m pytest 命令执行测试，避免环境变量问题</x:v>
      </x:c>
      <x:c r="O26" s="13" t="str">
        <x:v>张越</x:v>
      </x:c>
      <x:c r="P26" s="16" t="n">
        <x:v>46212</x:v>
      </x:c>
      <x:c r="Q26" s="13" t="str">
        <x:v>通过</x:v>
      </x:c>
      <x:c r="R26" s="13" t="str">
        <x:v>已写入 README</x:v>
      </x:c>
    </x:row>
    <x:row r="27">
      <x:c r="A27" s="13" t="str">
        <x:v>BUG-026</x:v>
      </x:c>
      <x:c r="B27" s="13" t="str">
        <x:v>前端编译</x:v>
      </x:c>
      <x:c r="C27" s="13" t="str">
        <x:v>TreeHolePage.vue 出现重复函数声明</x:v>
      </x:c>
      <x:c r="D27" s="13" t="str">
        <x:v>高</x:v>
      </x:c>
      <x:c r="E27" s="13" t="str">
        <x:v>P1</x:v>
      </x:c>
      <x:c r="F27" s="13" t="str">
        <x:v>已修复</x:v>
      </x:c>
      <x:c r="G27" s="13" t="str">
        <x:v>v1.1</x:v>
      </x:c>
      <x:c r="H27" s="16" t="n">
        <x:v>46212</x:v>
      </x:c>
      <x:c r="I27" s="13" t="str">
        <x:v>修改 RAG 存档逻辑后保存</x:v>
      </x:c>
      <x:c r="J27" s="13" t="str">
        <x:v>1. 保存 TreeHolePage.vue
2. 查看 Vite 页面</x:v>
      </x:c>
      <x:c r="K27" s="13" t="str">
        <x:v>报错 Identifier 'getCurrentUserKey' has already been declared</x:v>
      </x:c>
      <x:c r="L27" s="13" t="str">
        <x:v>前端正常编译</x:v>
      </x:c>
      <x:c r="M27" s="13" t="str">
        <x:v>新增存档逻辑时重复粘贴 getCurrentUserKey 函数</x:v>
      </x:c>
      <x:c r="N27" s="13" t="str">
        <x:v>只保留一个 getCurrentUserKey，其他模块共用</x:v>
      </x:c>
      <x:c r="O27" s="13" t="str">
        <x:v>张越</x:v>
      </x:c>
      <x:c r="P27" s="16" t="n">
        <x:v>46212</x:v>
      </x:c>
      <x:c r="Q27" s="13" t="str">
        <x:v>通过</x:v>
      </x:c>
      <x:c r="R27" s="13" t="str"/>
    </x:row>
    <x:row r="28">
      <x:c r="A28" s="13" t="str">
        <x:v>BUG-027</x:v>
      </x:c>
      <x:c r="B28" s="13" t="str">
        <x:v>前端编译</x:v>
      </x:c>
      <x:c r="C28" s="13" t="str">
        <x:v>Vue 模板出现 Invalid end tag</x:v>
      </x:c>
      <x:c r="D28" s="13" t="str">
        <x:v>高</x:v>
      </x:c>
      <x:c r="E28" s="13" t="str">
        <x:v>P1</x:v>
      </x:c>
      <x:c r="F28" s="13" t="str">
        <x:v>已修复</x:v>
      </x:c>
      <x:c r="G28" s="13" t="str">
        <x:v>v1.1</x:v>
      </x:c>
      <x:c r="H28" s="16" t="n">
        <x:v>46212</x:v>
      </x:c>
      <x:c r="I28" s="13" t="str">
        <x:v>调整内容页结构后保存</x:v>
      </x:c>
      <x:c r="J28" s="13" t="str">
        <x:v>1. 保存 TreeHolePage.vue
2. 查看 Problems 面板</x:v>
      </x:c>
      <x:c r="K28" s="13" t="str">
        <x:v>提示 Invalid end tag，页面无法编译</x:v>
      </x:c>
      <x:c r="L28" s="13" t="str">
        <x:v>页面结构正常，只有一个 template、script、style</x:v>
      </x:c>
      <x:c r="M28" s="13" t="str">
        <x:v>内容页 div / section 标签闭合层级错误</x:v>
      </x:c>
      <x:c r="N28" s="13" t="str">
        <x:v>重新检查内容页结构，删除多余闭合标签</x:v>
      </x:c>
      <x:c r="O28" s="13" t="str">
        <x:v>张越</x:v>
      </x:c>
      <x:c r="P28" s="16" t="n">
        <x:v>46212</x:v>
      </x:c>
      <x:c r="Q28" s="13" t="str">
        <x:v>通过</x:v>
      </x:c>
      <x:c r="R28" s="13" t="str"/>
    </x:row>
    <x:row r="29">
      <x:c r="A29" s="13" t="str">
        <x:v>BUG-028</x:v>
      </x:c>
      <x:c r="B29" s="13" t="str">
        <x:v>项目文档</x:v>
      </x:c>
      <x:c r="C29" s="13" t="str">
        <x:v>功能测试用例表未覆盖 AI 应用专项流程</x:v>
      </x:c>
      <x:c r="D29" s="13" t="str">
        <x:v>低</x:v>
      </x:c>
      <x:c r="E29" s="13" t="str">
        <x:v>P3</x:v>
      </x:c>
      <x:c r="F29" s="13" t="str">
        <x:v>已修复</x:v>
      </x:c>
      <x:c r="G29" s="13" t="str">
        <x:v>v1.1</x:v>
      </x:c>
      <x:c r="H29" s="16" t="n">
        <x:v>46213</x:v>
      </x:c>
      <x:c r="I29" s="13" t="str">
        <x:v>查看旧功能测试用例表</x:v>
      </x:c>
      <x:c r="J29" s="13" t="str">
        <x:v>1. 打开测试用例文档
2. 检查模块覆盖</x:v>
      </x:c>
      <x:c r="K29" s="13" t="str">
        <x:v>只覆盖基础页面操作，缺少 RAG、Tool Calling、Memory、Agent 编排</x:v>
      </x:c>
      <x:c r="L29" s="13" t="str">
        <x:v>覆盖 AI 应用专项测试点</x:v>
      </x:c>
      <x:c r="M29" s="13" t="str">
        <x:v>项目功能调整后测试用例未及时更新</x:v>
      </x:c>
      <x:c r="N29" s="13" t="str">
        <x:v>新增 AI 回复质量、Tool Calling、RAG、Memory、多 Agent 圆桌相关用例</x:v>
      </x:c>
      <x:c r="O29" s="13" t="str">
        <x:v>组内共同</x:v>
      </x:c>
      <x:c r="P29" s="16" t="n">
        <x:v>46213</x:v>
      </x:c>
      <x:c r="Q29" s="13" t="str">
        <x:v>通过</x:v>
      </x:c>
      <x:c r="R29" s="13" t="str"/>
    </x:row>
  </x:sheetData>
  <x:conditionalFormatting sqref="D2:D29">
    <x:cfRule type="expression" dxfId="0" priority="1">
      <x:formula>D2="高"</x:formula>
    </x:cfRule>
    <x:cfRule type="expression" dxfId="1" priority="2">
      <x:formula>D2="中"</x:formula>
    </x:cfRule>
    <x:cfRule type="expression" dxfId="2" priority="3">
      <x:formula>D2="低"</x:formula>
    </x:cfRule>
  </x:conditionalFormatting>
  <x:conditionalFormatting sqref="F2:F29">
    <x:cfRule type="expression" dxfId="3" priority="4">
      <x:formula>F2="已修复"</x:formula>
    </x:cfRule>
    <x:cfRule type="expression" dxfId="4" priority="5">
      <x:formula>F2="修复中"</x:formula>
    </x:cfRule>
    <x:cfRule type="expression" dxfId="5" priority="6">
      <x:formula>F2="未修复"</x:formula>
    </x:cfRule>
  </x:conditionalFormatting>
  <x:conditionalFormatting sqref="Q2:Q29">
    <x:cfRule type="expression" dxfId="6" priority="7">
      <x:formula>Q2="通过"</x:formula>
    </x:cfRule>
    <x:cfRule type="expression" dxfId="7" priority="8">
      <x:formula>Q2="不通过"</x:formula>
    </x:cfRule>
  </x:conditionalFormatting>
  <x:dataValidations count="6">
    <x:dataValidation type="list" sqref="B2:B29">
      <x:formula1>数据字典!$E$2:$E$15</x:formula1>
    </x:dataValidation>
    <x:dataValidation type="list" sqref="D2:D29">
      <x:formula1>数据字典!$A$2:$A$4</x:formula1>
    </x:dataValidation>
    <x:dataValidation type="list" sqref="E2:E29">
      <x:formula1>数据字典!$B$2:$B$5</x:formula1>
    </x:dataValidation>
    <x:dataValidation type="list" sqref="F2:F29">
      <x:formula1>数据字典!$C$2:$C$6</x:formula1>
    </x:dataValidation>
    <x:dataValidation type="list" sqref="O2:O29">
      <x:formula1>数据字典!$F$2:$F$5</x:formula1>
    </x:dataValidation>
    <x:dataValidation type="list" sqref="Q2:Q29">
      <x:formula1>数据字典!$D$2:$D$5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8a2fc4dc36442f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12" hidden="0" customWidth="1"/>
  </x:cols>
  <x:sheetData>
    <x:row r="1" ht="32" customHeight="1">
      <x:c r="A1" s="20" t="str">
        <x:v>AI Agent 多角色圆桌对谈与剧本生成系统 Bug 汇总</x:v>
      </x:c>
    </x:row>
    <x:row r="3" ht="15" hidden="0" customHeight="1">
      <x:c r="A3" s="36" t="str">
        <x:v>指标</x:v>
      </x:c>
      <x:c r="B3" s="36" t="str">
        <x:v>数量</x:v>
      </x:c>
      <x:c r="C3" s="37"/>
      <x:c r="D3" s="36" t="str">
        <x:v>严重程度</x:v>
      </x:c>
      <x:c r="E3" s="36" t="str">
        <x:v>数量</x:v>
      </x:c>
      <x:c r="F3" s="37"/>
      <x:c r="G3" s="36" t="str">
        <x:v>模块</x:v>
      </x:c>
      <x:c r="H3" s="36" t="str">
        <x:v>数量</x:v>
      </x:c>
    </x:row>
    <x:row r="4" ht="15" hidden="0" customHeight="1">
      <x:c r="A4" s="38" t="str">
        <x:v>Bug 总数</x:v>
      </x:c>
      <x:c r="B4" s="37" t="n">
        <x:f>COUNTA('Bug记录表'!A2:A29)</x:f>
        <x:v>28</x:v>
      </x:c>
      <x:c r="C4" s="37"/>
      <x:c r="D4" s="38" t="str">
        <x:v>高</x:v>
      </x:c>
      <x:c r="E4" s="37" t="n">
        <x:f>COUNTIF('Bug记录表'!D2:D29,D4)</x:f>
        <x:v>8</x:v>
      </x:c>
      <x:c r="F4" s="37"/>
      <x:c r="G4" s="38" t="str">
        <x:v>登录注册</x:v>
      </x:c>
      <x:c r="H4" s="37" t="n">
        <x:f>COUNTIF('Bug记录表'!B2:B29,G4)</x:f>
        <x:v>2</x:v>
      </x:c>
    </x:row>
    <x:row r="5" ht="15" hidden="0" customHeight="1">
      <x:c r="A5" s="38" t="str">
        <x:v>已修复</x:v>
      </x:c>
      <x:c r="B5" s="37" t="n">
        <x:f>COUNTIF('Bug记录表'!F2:F29,"已修复")</x:f>
        <x:v>28</x:v>
      </x:c>
      <x:c r="C5" s="37"/>
      <x:c r="D5" s="38" t="str">
        <x:v>中</x:v>
      </x:c>
      <x:c r="E5" s="37" t="n">
        <x:f>COUNTIF('Bug记录表'!D2:D29,D5)</x:f>
        <x:v>11</x:v>
      </x:c>
      <x:c r="F5" s="37"/>
      <x:c r="G5" s="38" t="str">
        <x:v>账号隔离</x:v>
      </x:c>
      <x:c r="H5" s="37" t="n">
        <x:f>COUNTIF('Bug记录表'!B2:B29,G5)</x:f>
        <x:v>1</x:v>
      </x:c>
    </x:row>
    <x:row r="6" ht="15" hidden="0" customHeight="1">
      <x:c r="A6" s="38" t="str">
        <x:v>修复中</x:v>
      </x:c>
      <x:c r="B6" s="37" t="n">
        <x:f>COUNTIF('Bug记录表'!F2:F29,"修复中")</x:f>
        <x:v>0</x:v>
      </x:c>
      <x:c r="C6" s="37"/>
      <x:c r="D6" s="38" t="str">
        <x:v>低</x:v>
      </x:c>
      <x:c r="E6" s="37" t="n">
        <x:f>COUNTIF('Bug记录表'!D2:D29,D6)</x:f>
        <x:v>9</x:v>
      </x:c>
      <x:c r="F6" s="37"/>
      <x:c r="G6" s="38" t="str">
        <x:v>页面导航</x:v>
      </x:c>
      <x:c r="H6" s="37" t="n">
        <x:f>COUNTIF('Bug记录表'!B2:B29,G6)</x:f>
        <x:v>2</x:v>
      </x:c>
    </x:row>
    <x:row r="7" ht="15" hidden="0" customHeight="1">
      <x:c r="A7" s="38" t="str">
        <x:v>未修复</x:v>
      </x:c>
      <x:c r="B7" s="37" t="n">
        <x:f>COUNTIF('Bug记录表'!F2:F29,"未修复")</x:f>
        <x:v>0</x:v>
      </x:c>
      <x:c r="C7" s="37"/>
      <x:c r="D7" s="37"/>
      <x:c r="E7" s="37"/>
      <x:c r="F7" s="37"/>
      <x:c r="G7" s="38" t="str">
        <x:v>内容生产</x:v>
      </x:c>
      <x:c r="H7" s="37" t="n">
        <x:f>COUNTIF('Bug记录表'!B2:B29,G7)</x:f>
        <x:v>3</x:v>
      </x:c>
    </x:row>
    <x:row r="8" ht="15" hidden="0" customHeight="1">
      <x:c r="A8" s="38" t="str">
        <x:v>回归通过</x:v>
      </x:c>
      <x:c r="B8" s="37" t="n">
        <x:f>COUNTIF('Bug记录表'!Q2:Q29,"通过")</x:f>
        <x:v>28</x:v>
      </x:c>
      <x:c r="C8" s="37"/>
      <x:c r="D8" s="37"/>
      <x:c r="E8" s="37"/>
      <x:c r="F8" s="37"/>
      <x:c r="G8" s="38" t="str">
        <x:v>多 Agent 圆桌</x:v>
      </x:c>
      <x:c r="H8" s="37" t="n">
        <x:f>COUNTIF('Bug记录表'!B2:B29,G8)</x:f>
        <x:v>5</x:v>
      </x:c>
    </x:row>
    <x:row r="9" ht="15" hidden="0" customHeight="1">
      <x:c r="A9" s="37"/>
      <x:c r="B9" s="37"/>
      <x:c r="C9" s="37"/>
      <x:c r="D9" s="37"/>
      <x:c r="E9" s="37"/>
      <x:c r="F9" s="37"/>
      <x:c r="G9" s="38" t="str">
        <x:v>自定义 Agent</x:v>
      </x:c>
      <x:c r="H9" s="37" t="n">
        <x:f>COUNTIF('Bug记录表'!B2:B29,G9)</x:f>
        <x:v>2</x:v>
      </x:c>
    </x:row>
    <x:row r="10" ht="15" hidden="0" customHeight="1">
      <x:c r="A10" s="37"/>
      <x:c r="B10" s="37"/>
      <x:c r="C10" s="37"/>
      <x:c r="D10" s="37"/>
      <x:c r="E10" s="37"/>
      <x:c r="F10" s="37"/>
      <x:c r="G10" s="38" t="str">
        <x:v>Tool Calling</x:v>
      </x:c>
      <x:c r="H10" s="37" t="n">
        <x:f>COUNTIF('Bug记录表'!B2:B29,G10)</x:f>
        <x:v>1</x:v>
      </x:c>
    </x:row>
    <x:row r="11" ht="15" hidden="0" customHeight="1">
      <x:c r="A11" s="37"/>
      <x:c r="B11" s="37"/>
      <x:c r="C11" s="37"/>
      <x:c r="D11" s="37"/>
      <x:c r="E11" s="37"/>
      <x:c r="F11" s="37"/>
      <x:c r="G11" s="38" t="str">
        <x:v>RAG 知识库</x:v>
      </x:c>
      <x:c r="H11" s="37" t="n">
        <x:f>COUNTIF('Bug记录表'!B2:B29,G11)</x:f>
        <x:v>3</x:v>
      </x:c>
    </x:row>
    <x:row r="12" ht="15" hidden="0" customHeight="1">
      <x:c r="A12" s="37"/>
      <x:c r="B12" s="37"/>
      <x:c r="C12" s="37"/>
      <x:c r="D12" s="37"/>
      <x:c r="E12" s="37"/>
      <x:c r="F12" s="37"/>
      <x:c r="G12" s="38" t="str">
        <x:v>Memory 记忆</x:v>
      </x:c>
      <x:c r="H12" s="37" t="n">
        <x:f>COUNTIF('Bug记录表'!B2:B29,G12)</x:f>
        <x:v>1</x:v>
      </x:c>
    </x:row>
    <x:row r="13" ht="15" hidden="0" customHeight="1">
      <x:c r="A13" s="37"/>
      <x:c r="B13" s="37"/>
      <x:c r="C13" s="37"/>
      <x:c r="D13" s="37"/>
      <x:c r="E13" s="37"/>
      <x:c r="F13" s="37"/>
      <x:c r="G13" s="38" t="str">
        <x:v>接口联调</x:v>
      </x:c>
      <x:c r="H13" s="37" t="n">
        <x:f>COUNTIF('Bug记录表'!B2:B29,G13)</x:f>
        <x:v>1</x:v>
      </x:c>
    </x:row>
    <x:row r="14" ht="15" hidden="0" customHeight="1">
      <x:c r="A14" s="37"/>
      <x:c r="B14" s="37"/>
      <x:c r="C14" s="37"/>
      <x:c r="D14" s="37"/>
      <x:c r="E14" s="37"/>
      <x:c r="F14" s="37"/>
      <x:c r="G14" s="38" t="str">
        <x:v>自动化测试</x:v>
      </x:c>
      <x:c r="H14" s="37" t="n">
        <x:f>COUNTIF('Bug记录表'!B2:B29,G14)</x:f>
        <x:v>1</x:v>
      </x:c>
    </x:row>
    <x:row r="15" ht="15" hidden="0" customHeight="1">
      <x:c r="A15" s="37"/>
      <x:c r="B15" s="37"/>
      <x:c r="C15" s="37"/>
      <x:c r="D15" s="37"/>
      <x:c r="E15" s="37"/>
      <x:c r="F15" s="37"/>
      <x:c r="G15" s="38" t="str">
        <x:v>前端编译</x:v>
      </x:c>
      <x:c r="H15" s="37" t="n">
        <x:f>COUNTIF('Bug记录表'!B2:B29,G15)</x:f>
        <x:v>2</x:v>
      </x:c>
    </x:row>
    <x:row r="16">
      <x:c r="G16" s="38" t="str">
        <x:v>项目文档</x:v>
      </x:c>
      <x:c r="H16" s="37" t="n">
        <x:f>COUNTIF('Bug记录表'!B2:B29,G16)</x:f>
        <x:v>3</x:v>
      </x:c>
    </x:row>
    <x:row r="17">
      <x:c r="G17" s="38" t="str">
        <x:v>GitHub 提交</x:v>
      </x:c>
      <x:c r="H17" s="37" t="n">
        <x:f>COUNTIF('Bug记录表'!B2:B29,G17)</x:f>
        <x:v>1</x:v>
      </x:c>
    </x:row>
    <x:row r="28">
      <x:c r="A28" s="47" t="str">
        <x:v>使用说明</x:v>
      </x:c>
      <x:c r="B28" t="str"/>
      <x:c r="C28" t="str"/>
      <x:c r="D28" t="str"/>
      <x:c r="E28" t="str"/>
      <x:c r="F28" t="str"/>
      <x:c r="G28" t="str"/>
      <x:c r="H28" t="str"/>
    </x:row>
    <x:row r="29">
      <x:c r="A29" s="37" t="str">
        <x:v>1. Bug记录表支持下拉选择严重程度、优先级、状态、模块和回归结果。</x:v>
      </x:c>
      <x:c r="B29" t="str"/>
      <x:c r="C29" t="str"/>
      <x:c r="D29" t="str"/>
      <x:c r="E29" t="str"/>
      <x:c r="F29" t="str"/>
      <x:c r="G29" t="str"/>
      <x:c r="H29" t="str"/>
    </x:row>
    <x:row r="30">
      <x:c r="A30" s="37" t="str">
        <x:v>2. 统计汇总表自动统计 Bug 数量、严重程度分布和模块分布。</x:v>
      </x:c>
      <x:c r="B30" t="str"/>
      <x:c r="C30" t="str"/>
      <x:c r="D30" t="str"/>
      <x:c r="E30" t="str"/>
      <x:c r="F30" t="str"/>
      <x:c r="G30" t="str"/>
      <x:c r="H30" t="str"/>
    </x:row>
    <x:row r="31">
      <x:c r="A31" s="37" t="str">
        <x:v>3. 本表用于面试展示，可说明已进行缺陷记录、回归验证和测试闭环。</x:v>
      </x:c>
      <x:c r="B31" t="str"/>
      <x:c r="C31" t="str"/>
      <x:c r="D31" t="str"/>
      <x:c r="E31" t="str"/>
      <x:c r="F31" t="str"/>
      <x:c r="G31" t="str"/>
      <x:c r="H31" t="str"/>
    </x:row>
  </x:sheetData>
  <x:mergeCells>
    <x:mergeCell ref="A1:H1"/>
    <x:mergeCell ref="A28:H28"/>
    <x:mergeCell ref="A29:H29"/>
    <x:mergeCell ref="A30:H30"/>
    <x:mergeCell ref="A31:H31"/>
  </x:mergeCells>
  <x:pageMargins left="0.7" right="0.7" top="0.75" bottom="0.75" header="0.3" footer="0.3"/>
  <x:drawing xmlns:r="http://schemas.openxmlformats.org/officeDocument/2006/relationships" r:id="R44b8eef794ed4f0e"/>
  <x:tableParts count="3">
    <x:tablePart xmlns:r="http://schemas.openxmlformats.org/officeDocument/2006/relationships" r:id="Rb3508044643e4800"/>
    <x:tablePart xmlns:r="http://schemas.openxmlformats.org/officeDocument/2006/relationships" r:id="R4117378f8ff54f96"/>
    <x:tablePart xmlns:r="http://schemas.openxmlformats.org/officeDocument/2006/relationships" r:id="Rea98247f9893473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44" t="str">
        <x:v>严重程度</x:v>
      </x:c>
      <x:c r="B1" s="44" t="str">
        <x:v>优先级</x:v>
      </x:c>
      <x:c r="C1" s="44" t="str">
        <x:v>状态</x:v>
      </x:c>
      <x:c r="D1" s="44" t="str">
        <x:v>回归结果</x:v>
      </x:c>
      <x:c r="E1" s="44" t="str">
        <x:v>模块</x:v>
      </x:c>
      <x:c r="F1" s="44" t="str">
        <x:v>修复负责人</x:v>
      </x:c>
    </x:row>
    <x:row r="2">
      <x:c r="A2" t="str">
        <x:v>高</x:v>
      </x:c>
      <x:c r="B2" t="str">
        <x:v>P0</x:v>
      </x:c>
      <x:c r="C2" t="str">
        <x:v>未修复</x:v>
      </x:c>
      <x:c r="D2" t="str">
        <x:v>未回归</x:v>
      </x:c>
      <x:c r="E2" t="str">
        <x:v>登录注册</x:v>
      </x:c>
      <x:c r="F2" t="str">
        <x:v>张越</x:v>
      </x:c>
    </x:row>
    <x:row r="3">
      <x:c r="A3" t="str">
        <x:v>中</x:v>
      </x:c>
      <x:c r="B3" t="str">
        <x:v>P1</x:v>
      </x:c>
      <x:c r="C3" t="str">
        <x:v>修复中</x:v>
      </x:c>
      <x:c r="D3" t="str">
        <x:v>通过</x:v>
      </x:c>
      <x:c r="E3" t="str">
        <x:v>账号隔离</x:v>
      </x:c>
      <x:c r="F3" t="str">
        <x:v>安姣凝</x:v>
      </x:c>
    </x:row>
    <x:row r="4">
      <x:c r="A4" t="str">
        <x:v>低</x:v>
      </x:c>
      <x:c r="B4" t="str">
        <x:v>P2</x:v>
      </x:c>
      <x:c r="C4" t="str">
        <x:v>已修复</x:v>
      </x:c>
      <x:c r="D4" t="str">
        <x:v>不通过</x:v>
      </x:c>
      <x:c r="E4" t="str">
        <x:v>页面导航</x:v>
      </x:c>
      <x:c r="F4" t="str">
        <x:v>潘子彤</x:v>
      </x:c>
    </x:row>
    <x:row r="5">
      <x:c r="A5" t="str"/>
      <x:c r="B5" t="str">
        <x:v>P3</x:v>
      </x:c>
      <x:c r="C5" t="str">
        <x:v>已关闭</x:v>
      </x:c>
      <x:c r="D5" t="str">
        <x:v>待验证</x:v>
      </x:c>
      <x:c r="E5" t="str">
        <x:v>内容生产</x:v>
      </x:c>
      <x:c r="F5" t="str">
        <x:v>组内共同</x:v>
      </x:c>
    </x:row>
    <x:row r="6">
      <x:c r="A6" t="str"/>
      <x:c r="B6" t="str"/>
      <x:c r="C6" t="str">
        <x:v>暂缓处理</x:v>
      </x:c>
      <x:c r="D6" t="str"/>
      <x:c r="E6" t="str">
        <x:v>多 Agent 圆桌</x:v>
      </x:c>
      <x:c r="F6" t="str"/>
    </x:row>
    <x:row r="7">
      <x:c r="A7" t="str"/>
      <x:c r="B7" t="str"/>
      <x:c r="C7" t="str"/>
      <x:c r="D7" t="str"/>
      <x:c r="E7" t="str">
        <x:v>自定义 Agent</x:v>
      </x:c>
      <x:c r="F7" t="str"/>
    </x:row>
    <x:row r="8">
      <x:c r="A8" t="str"/>
      <x:c r="B8" t="str"/>
      <x:c r="C8" t="str"/>
      <x:c r="D8" t="str"/>
      <x:c r="E8" t="str">
        <x:v>Tool Calling</x:v>
      </x:c>
      <x:c r="F8" t="str"/>
    </x:row>
    <x:row r="9">
      <x:c r="A9" t="str"/>
      <x:c r="B9" t="str"/>
      <x:c r="C9" t="str"/>
      <x:c r="D9" t="str"/>
      <x:c r="E9" t="str">
        <x:v>RAG 知识库</x:v>
      </x:c>
      <x:c r="F9" t="str"/>
    </x:row>
    <x:row r="10">
      <x:c r="A10" t="str"/>
      <x:c r="B10" t="str"/>
      <x:c r="C10" t="str"/>
      <x:c r="D10" t="str"/>
      <x:c r="E10" t="str">
        <x:v>Memory 记忆</x:v>
      </x:c>
      <x:c r="F10" t="str"/>
    </x:row>
    <x:row r="11">
      <x:c r="A11" t="str"/>
      <x:c r="B11" t="str"/>
      <x:c r="C11" t="str"/>
      <x:c r="D11" t="str"/>
      <x:c r="E11" t="str">
        <x:v>接口联调</x:v>
      </x:c>
      <x:c r="F11" t="str"/>
    </x:row>
    <x:row r="12">
      <x:c r="A12" t="str"/>
      <x:c r="B12" t="str"/>
      <x:c r="C12" t="str"/>
      <x:c r="D12" t="str"/>
      <x:c r="E12" t="str">
        <x:v>自动化测试</x:v>
      </x:c>
      <x:c r="F12" t="str"/>
    </x:row>
    <x:row r="13">
      <x:c r="A13" t="str"/>
      <x:c r="B13" t="str"/>
      <x:c r="C13" t="str"/>
      <x:c r="D13" t="str"/>
      <x:c r="E13" t="str">
        <x:v>前端编译</x:v>
      </x:c>
      <x:c r="F13" t="str"/>
    </x:row>
    <x:row r="14">
      <x:c r="A14" t="str"/>
      <x:c r="B14" t="str"/>
      <x:c r="C14" t="str"/>
      <x:c r="D14" t="str"/>
      <x:c r="E14" t="str">
        <x:v>项目文档</x:v>
      </x:c>
      <x:c r="F14" t="str"/>
    </x:row>
    <x:row r="15">
      <x:c r="A15" t="str"/>
      <x:c r="B15" t="str"/>
      <x:c r="C15" t="str"/>
      <x:c r="D15" t="str"/>
      <x:c r="E15" t="str">
        <x:v>GitHub 提交</x:v>
      </x:c>
      <x:c r="F15" t="str"/>
    </x:row>
  </x:sheetData>
  <x:pageMargins left="0.7" right="0.7" top="0.75" bottom="0.75" header="0.3" footer="0.3"/>
  <x:tableParts count="1">
    <x:tablePart xmlns:r="http://schemas.openxmlformats.org/officeDocument/2006/relationships" r:id="R36118e8946d54fa0"/>
  </x:tableParts>
</x:worksheet>
</file>