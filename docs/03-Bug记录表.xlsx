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955"/>
  </bookViews>
  <sheets>
    <sheet name="Bug记录表" sheetId="1" r:id="rId1"/>
    <sheet name="统计汇总" sheetId="2" r:id="rId2"/>
    <sheet name="数据字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<sst xmlns="http://schemas.openxmlformats.org/spreadsheetml/2006/main" count="469" uniqueCount="223">
  <si>
    <t>Bug编号</t>
  </si>
  <si>
    <t>模块</t>
  </si>
  <si>
    <t>Bug标题</t>
  </si>
  <si>
    <t>严重程度</t>
  </si>
  <si>
    <t>优先级</t>
  </si>
  <si>
    <t>状态</t>
  </si>
  <si>
    <t>发现版本</t>
  </si>
  <si>
    <t>发现日期</t>
  </si>
  <si>
    <t>前置条件</t>
  </si>
  <si>
    <t>复现步骤</t>
  </si>
  <si>
    <t>实际结果</t>
  </si>
  <si>
    <t>预期结果</t>
  </si>
  <si>
    <t>原因分析</t>
  </si>
  <si>
    <t>修复方案</t>
  </si>
  <si>
    <t>修复负责人</t>
  </si>
  <si>
    <t>修复日期</t>
  </si>
  <si>
    <t>回归结果</t>
  </si>
  <si>
    <t>备注</t>
  </si>
  <si>
    <t>BUG-001</t>
  </si>
  <si>
    <t>登录注册</t>
  </si>
  <si>
    <t>注册成功后未自动登录</t>
  </si>
  <si>
    <t>高</t>
  </si>
  <si>
    <t>P1</t>
  </si>
  <si>
    <t>已修复</t>
  </si>
  <si>
    <t>v1.0</t>
  </si>
  <si>
    <t>打开登录注册页，后端服务正常启动</t>
  </si>
  <si>
    <t>1. 切换到注册页
2. 输入新用户名和密码
3. 点击注册</t>
  </si>
  <si>
    <t>提示注册成功，但仍停留在登录页，需要手动登录</t>
  </si>
  <si>
    <t>注册成功后自动保存 token 并进入内容页</t>
  </si>
  <si>
    <t>注册接口返回结构与登录接口不一致，前端没有正确提取 token</t>
  </si>
  <si>
    <t>统一 getToken 解析逻辑，注册成功后调用 saveLoginState 并跳转内容页</t>
  </si>
  <si>
    <t>张越</t>
  </si>
  <si>
    <t>通过</t>
  </si>
  <si>
    <t>面试演示重点流程</t>
  </si>
  <si>
    <t>BUG-002</t>
  </si>
  <si>
    <r>
      <t>游客登录失败，提示未获取到</t>
    </r>
    <r>
      <rPr>
        <sz val="11"/>
        <rFont val="Carlito"/>
        <charset val="134"/>
      </rPr>
      <t xml:space="preserve"> token</t>
    </r>
  </si>
  <si>
    <t>打开登录页</t>
  </si>
  <si>
    <t>1. 点击游客登录
2. 观察页面提示</t>
  </si>
  <si>
    <t>弹窗提示“游客登录失败：未获取到 token”</t>
  </si>
  <si>
    <t>游客账号自动生成并进入系统</t>
  </si>
  <si>
    <t>游客登录请求返回值字段与前端 token 解析字段不一致</t>
  </si>
  <si>
    <t>补充游客登录兜底逻辑，统一保存 token 和 moodboard_current_user</t>
  </si>
  <si>
    <t>已加入回归测试</t>
  </si>
  <si>
    <t>BUG-003</t>
  </si>
  <si>
    <t>账号隔离</t>
  </si>
  <si>
    <t>不同账号可看到相同圆桌历史记录</t>
  </si>
  <si>
    <t>已存在两个测试账号</t>
  </si>
  <si>
    <t>1. 使用账号 A 创建圆桌记录
2. 退出登录
3. 使用账号 B 登录
4. 查看历史圆桌</t>
  </si>
  <si>
    <t>账号 B 可看到账号 A 的圆桌记录</t>
  </si>
  <si>
    <t>不同账号只能看到自己的圆桌记录</t>
  </si>
  <si>
    <t>localStorage 使用固定 key，没有拼接当前用户名</t>
  </si>
  <si>
    <t>将圆桌历史、RAG 存档、自定义 Agent 的本地存储 key 加上当前用户标识</t>
  </si>
  <si>
    <t>隐私与数据隔离问题</t>
  </si>
  <si>
    <t>BUG-004</t>
  </si>
  <si>
    <t>自动化测试</t>
  </si>
  <si>
    <t>pytest 命令无法识别</t>
  </si>
  <si>
    <t>中</t>
  </si>
  <si>
    <t>P2</t>
  </si>
  <si>
    <t>v1.1</t>
  </si>
  <si>
    <t>已安装 Python 依赖</t>
  </si>
  <si>
    <r>
      <t xml:space="preserve">1. </t>
    </r>
    <r>
      <rPr>
        <sz val="11"/>
        <rFont val="宋体"/>
        <charset val="134"/>
      </rPr>
      <t>在终端执行</t>
    </r>
    <r>
      <rPr>
        <sz val="11"/>
        <rFont val="Carlito"/>
        <charset val="134"/>
      </rPr>
      <t xml:space="preserve"> pytest tests/test_api_pytest.py</t>
    </r>
  </si>
  <si>
    <t>提示 pytest 不是内部或外部命令</t>
  </si>
  <si>
    <t>能正常执行自动化测试</t>
  </si>
  <si>
    <r>
      <t xml:space="preserve">Scripts </t>
    </r>
    <r>
      <rPr>
        <sz val="11"/>
        <rFont val="宋体"/>
        <charset val="134"/>
      </rPr>
      <t>目录未加入</t>
    </r>
    <r>
      <rPr>
        <sz val="11"/>
        <rFont val="Carlito"/>
        <charset val="134"/>
      </rPr>
      <t xml:space="preserve"> PATH</t>
    </r>
  </si>
  <si>
    <t>改用 python -m pytest 命令执行测试，避免环境变量问题</t>
  </si>
  <si>
    <r>
      <t>已写入</t>
    </r>
    <r>
      <rPr>
        <sz val="11"/>
        <rFont val="Carlito"/>
        <charset val="134"/>
      </rPr>
      <t xml:space="preserve"> README</t>
    </r>
  </si>
  <si>
    <t>BUG-005</t>
  </si>
  <si>
    <t>内容生产</t>
  </si>
  <si>
    <r>
      <t>内容选择页误显示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先分析内容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生成剧本方案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按钮</t>
    </r>
  </si>
  <si>
    <t>已登录并进入内容页</t>
  </si>
  <si>
    <t>1. 打开内容页
2. 查看两个选择卡片下方</t>
  </si>
  <si>
    <t>两个入口下方出现生成按钮，页面层级混乱</t>
  </si>
  <si>
    <t>选择页只展示“多 Agent 协助生成”和“直接生成方案”两个入口</t>
  </si>
  <si>
    <t>按钮区域放在 contentMode 条件外部</t>
  </si>
  <si>
    <t>将 actions-row 限制在 contentMode === 'direct' 时展示</t>
  </si>
  <si>
    <t>UI 体验问题</t>
  </si>
  <si>
    <t>BUG-006</t>
  </si>
  <si>
    <t>具体需求输入框显示为普通文字</t>
  </si>
  <si>
    <t>进入直接生成方案页面</t>
  </si>
  <si>
    <t>1. 点击直接生成方案
2. 查看“具体需求”区域</t>
  </si>
  <si>
    <t>textarea 标签异常，页面显示多余文本和 /&gt; 符号</t>
  </si>
  <si>
    <t>显示可输入的大文本框</t>
  </si>
  <si>
    <t>Vue 模板中 textarea 使用了错误闭合方式，造成标签解析异常</t>
  </si>
  <si>
    <t>将 textarea 改为完整的 &lt;textarea&gt;&lt;/textarea&gt; 闭合结构</t>
  </si>
  <si>
    <t>阻断直接生成流程</t>
  </si>
  <si>
    <t>BUG-007</t>
  </si>
  <si>
    <t>Tool Calling</t>
  </si>
  <si>
    <r>
      <t>点击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先分析内容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后结果均为未识别</t>
    </r>
  </si>
  <si>
    <t>进入直接生成方案页并填写需求</t>
  </si>
  <si>
    <t>1. 输入追妻火葬场需求
2. 点击先分析内容
3. 查看分析结果</t>
  </si>
  <si>
    <t>冲突强度、情绪基调、标签均显示未识别</t>
  </si>
  <si>
    <t>应显示高冲突、虐恋/追悔/反转及相关标签</t>
  </si>
  <si>
    <t>后端返回字段与前端读取字段不一致，缺少字段兼容处理</t>
  </si>
  <si>
    <t>新增 normalizeToolResult 和前端兜底分析逻辑</t>
  </si>
  <si>
    <t>AI 应用专项测试覆盖</t>
  </si>
  <si>
    <t>BUG-008</t>
  </si>
  <si>
    <r>
      <t>直接生成与多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协助生成结果差异不明显</t>
    </r>
  </si>
  <si>
    <t>两种生成方式均可使用</t>
  </si>
  <si>
    <t>1. 直接生成方案
2. 多 Agent 圆桌后带入生成
3. 对比输出</t>
  </si>
  <si>
    <t>两种结果结构接近，难以体现多 Agent 协作价值</t>
  </si>
  <si>
    <t>圆桌生成结果应包含圆桌结论、观点采纳和最终方案</t>
  </si>
  <si>
    <t>两种模式使用了相近的最终 Prompt</t>
  </si>
  <si>
    <t>区分直接生成 Prompt 和圆桌总结 Prompt，增加观点采纳结构</t>
  </si>
  <si>
    <t>面试展示重点</t>
  </si>
  <si>
    <t>BUG-009</t>
  </si>
  <si>
    <t>多 Agent 圆桌</t>
  </si>
  <si>
    <r>
      <t>选择超过</t>
    </r>
    <r>
      <rPr>
        <sz val="11"/>
        <rFont val="Carlito"/>
        <charset val="134"/>
      </rPr>
      <t xml:space="preserve"> 4 </t>
    </r>
    <r>
      <rPr>
        <sz val="11"/>
        <rFont val="宋体"/>
        <charset val="134"/>
      </rPr>
      <t>个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时缺少限制</t>
    </r>
  </si>
  <si>
    <t>进入多 Agent 协助生成页</t>
  </si>
  <si>
    <t>1. 连续选择 5 个 Agent
2. 查看已选数量</t>
  </si>
  <si>
    <t>可继续选择超过 4 个 Agent</t>
  </si>
  <si>
    <t>系统提示最多选择 4 个 Agent</t>
  </si>
  <si>
    <t>前端 toggleAgent 未做上限判断</t>
  </si>
  <si>
    <t>增加 selectedAgentCodes.length &gt;= 4 校验和 alert 提示</t>
  </si>
  <si>
    <t/>
  </si>
  <si>
    <t>BUG-010</t>
  </si>
  <si>
    <r>
      <t>少于</t>
    </r>
    <r>
      <rPr>
        <sz val="11"/>
        <rFont val="Carlito"/>
        <charset val="134"/>
      </rPr>
      <t xml:space="preserve"> 2 </t>
    </r>
    <r>
      <rPr>
        <sz val="11"/>
        <rFont val="宋体"/>
        <charset val="134"/>
      </rPr>
      <t>个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仍可尝试开始圆桌</t>
    </r>
  </si>
  <si>
    <t>1. 只选择 1 个 Agent
2. 点击开始圆桌讨论</t>
  </si>
  <si>
    <t>请求被发出或提示不明确</t>
  </si>
  <si>
    <t>系统提示至少选择 2 个 Agent</t>
  </si>
  <si>
    <t>前端提交前未校验最小数量</t>
  </si>
  <si>
    <t>runRoundtable 前增加 2-4 个 Agent 校验</t>
  </si>
  <si>
    <t>BUG-011</t>
  </si>
  <si>
    <r>
      <t>圆桌总结带入后仍沿用旧</t>
    </r>
    <r>
      <rPr>
        <sz val="11"/>
        <rFont val="Carlito"/>
        <charset val="134"/>
      </rPr>
      <t xml:space="preserve"> Tool Calling </t>
    </r>
    <r>
      <rPr>
        <sz val="11"/>
        <rFont val="宋体"/>
        <charset val="134"/>
      </rPr>
      <t>结果</t>
    </r>
  </si>
  <si>
    <t>先直接分析一次内容，再走圆桌流程</t>
  </si>
  <si>
    <t>1. 点击先分析内容
2. 进入圆桌并生成总结
3. 点击带入剧本生成
4. 生成最终方案</t>
  </si>
  <si>
    <t>最终方案可能使用上一次旧分析结果</t>
  </si>
  <si>
    <t>带入圆桌总结后应重新分析“用户需求 + 圆桌总结”</t>
  </si>
  <si>
    <t>applyRoundtableToContent 未清空旧 toolResult</t>
  </si>
  <si>
    <t>带入总结时清空 toolResult 和 scriptResult</t>
  </si>
  <si>
    <t>BUG-012</t>
  </si>
  <si>
    <r>
      <t xml:space="preserve">Agent </t>
    </r>
    <r>
      <rPr>
        <sz val="11"/>
        <rFont val="宋体"/>
        <charset val="134"/>
      </rPr>
      <t>卡片模板语法错误导致页面编译失败</t>
    </r>
  </si>
  <si>
    <t>修改 TreeHolePage.vue 后保存</t>
  </si>
  <si>
    <t>1. 打开圆桌页
2. 保存前端文件
3. 查看 Vite 报错</t>
  </si>
  <si>
    <t>页面提示 template 编译失败，出现 ${agent.name} 等错误写法</t>
  </si>
  <si>
    <t>Agent 卡片正常渲染</t>
  </si>
  <si>
    <t>Vue 模板中误用了 JS 模板字符串语法</t>
  </si>
  <si>
    <t>改为 Vue 插值语法 {{ agent.name }}，并重写 agent-grid 区块</t>
  </si>
  <si>
    <t>高频前端错误</t>
  </si>
  <si>
    <t>BUG-013</t>
  </si>
  <si>
    <t>页面导航</t>
  </si>
  <si>
    <r>
      <t>登录后默认进入多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协助页，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未进入生成方式选择页</t>
    </r>
  </si>
  <si>
    <r>
      <t>复现步骤：</t>
    </r>
    <r>
      <rPr>
        <sz val="11"/>
        <rFont val="Carlito"/>
        <charset val="134"/>
      </rPr>
      <t xml:space="preserve">
1. </t>
    </r>
    <r>
      <rPr>
        <sz val="11"/>
        <rFont val="宋体"/>
        <charset val="134"/>
      </rPr>
      <t>用户登录系统</t>
    </r>
    <r>
      <rPr>
        <sz val="11"/>
        <rFont val="Carlito"/>
        <charset val="134"/>
      </rPr>
      <t xml:space="preserve">
2. </t>
    </r>
    <r>
      <rPr>
        <sz val="11"/>
        <rFont val="宋体"/>
        <charset val="134"/>
      </rPr>
      <t>进入首页</t>
    </r>
    <r>
      <rPr>
        <sz val="11"/>
        <rFont val="Carlito"/>
        <charset val="134"/>
      </rPr>
      <t xml:space="preserve">
3. </t>
    </r>
    <r>
      <rPr>
        <sz val="11"/>
        <rFont val="宋体"/>
        <charset val="134"/>
      </rPr>
      <t>查看默认展示页面</t>
    </r>
  </si>
  <si>
    <r>
      <t>系统直接进入多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协助生成页面</t>
    </r>
  </si>
  <si>
    <r>
      <t>系统应先进入内容生产选择页，展示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直接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生成方案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多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协助生成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两个入口</t>
    </r>
  </si>
  <si>
    <r>
      <t>修改登录跳转地址和</t>
    </r>
    <r>
      <rPr>
        <sz val="11"/>
        <rFont val="Carlito"/>
        <charset val="134"/>
      </rPr>
      <t xml:space="preserve"> TreeHolePage </t>
    </r>
    <r>
      <rPr>
        <sz val="11"/>
        <rFont val="宋体"/>
        <charset val="134"/>
      </rPr>
      <t>默认</t>
    </r>
    <r>
      <rPr>
        <sz val="11"/>
        <rFont val="Carlito"/>
        <charset val="134"/>
      </rPr>
      <t xml:space="preserve"> view</t>
    </r>
    <r>
      <rPr>
        <sz val="11"/>
        <rFont val="宋体"/>
        <charset val="134"/>
      </rPr>
      <t>，将</t>
    </r>
    <r>
      <rPr>
        <sz val="11"/>
        <rFont val="Carlito"/>
        <charset val="134"/>
      </rPr>
      <t xml:space="preserve"> view </t>
    </r>
    <r>
      <rPr>
        <sz val="11"/>
        <rFont val="宋体"/>
        <charset val="134"/>
      </rPr>
      <t>默认设为</t>
    </r>
    <r>
      <rPr>
        <sz val="11"/>
        <rFont val="Carlito"/>
        <charset val="134"/>
      </rPr>
      <t xml:space="preserve"> content</t>
    </r>
    <r>
      <rPr>
        <sz val="11"/>
        <rFont val="宋体"/>
        <charset val="134"/>
      </rPr>
      <t>，</t>
    </r>
    <r>
      <rPr>
        <sz val="11"/>
        <rFont val="Carlito"/>
        <charset val="134"/>
      </rPr>
      <t xml:space="preserve">contentMode </t>
    </r>
    <r>
      <rPr>
        <sz val="11"/>
        <rFont val="宋体"/>
        <charset val="134"/>
      </rPr>
      <t>默认设为</t>
    </r>
    <r>
      <rPr>
        <sz val="11"/>
        <rFont val="Carlito"/>
        <charset val="134"/>
      </rPr>
      <t xml:space="preserve"> choice</t>
    </r>
    <r>
      <rPr>
        <sz val="11"/>
        <rFont val="宋体"/>
        <charset val="134"/>
      </rPr>
      <t>，并在</t>
    </r>
    <r>
      <rPr>
        <sz val="11"/>
        <rFont val="Carlito"/>
        <charset val="134"/>
      </rPr>
      <t xml:space="preserve"> route.query.view </t>
    </r>
    <r>
      <rPr>
        <sz val="11"/>
        <rFont val="宋体"/>
        <charset val="134"/>
      </rPr>
      <t>为</t>
    </r>
    <r>
      <rPr>
        <sz val="11"/>
        <rFont val="Carlito"/>
        <charset val="134"/>
      </rPr>
      <t xml:space="preserve"> content </t>
    </r>
    <r>
      <rPr>
        <sz val="11"/>
        <rFont val="宋体"/>
        <charset val="134"/>
      </rPr>
      <t>时进入选择页</t>
    </r>
    <r>
      <rPr>
        <sz val="11"/>
        <rFont val="Carlito"/>
        <charset val="134"/>
      </rPr>
      <t xml:space="preserve">
</t>
    </r>
  </si>
  <si>
    <t>BUG-014</t>
  </si>
  <si>
    <t>自定义 Agent</t>
  </si>
  <si>
    <r>
      <t>自定义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保存后未自动加入圆桌</t>
    </r>
  </si>
  <si>
    <t>低</t>
  </si>
  <si>
    <t>P3</t>
  </si>
  <si>
    <t>进入圆桌页，打开新建人格/角色</t>
  </si>
  <si>
    <t>1. 填写角色名称、参考人格、性别、角色设定
2. 点击保存并加入圆桌</t>
  </si>
  <si>
    <t>自定义 Agent 创建成功但未自动选中</t>
  </si>
  <si>
    <t>保存后自动加入已选 Agent 列表</t>
  </si>
  <si>
    <t>保存逻辑只更新 customAgents，没有同步 selectedAgentCodes</t>
  </si>
  <si>
    <t>保存后将新 Agent code 写入 selectedAgentCodes</t>
  </si>
  <si>
    <t>BUG-015</t>
  </si>
  <si>
    <r>
      <t>删除自定义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后已选数量未同步变化</t>
    </r>
  </si>
  <si>
    <t>已创建并选中自定义 Agent</t>
  </si>
  <si>
    <t>1. 点击自定义 Agent 删除按钮
2. 查看已选数量</t>
  </si>
  <si>
    <t>Agent 从列表移除，但已选数量仍异常</t>
  </si>
  <si>
    <t>删除后同步移除已选状态</t>
  </si>
  <si>
    <t>deleteCustomAgent 未同步过滤 selectedAgentCodes</t>
  </si>
  <si>
    <t>删除时同时过滤 customAgents 和 selectedAgentCodes</t>
  </si>
  <si>
    <t>BUG-016</t>
  </si>
  <si>
    <t>RAG 知识库</t>
  </si>
  <si>
    <t>知识库问答返回结果为空</t>
  </si>
  <si>
    <t>进入知识库页</t>
  </si>
  <si>
    <t>1. 输入“追妻火葬场题材怎么设计强冲突开场？”
2. 点击 RAG 生成回答</t>
  </si>
  <si>
    <t>回答为空或命中 0 条</t>
  </si>
  <si>
    <t>返回知识增强回答和命中片段</t>
  </si>
  <si>
    <t>knowledge_chunk 表内容不足或未初始化</t>
  </si>
  <si>
    <t>补充 ContentKnowledgeInitializer 知识片段，并检查 H2 表数据</t>
  </si>
  <si>
    <t>可在 H2 Console 验证</t>
  </si>
  <si>
    <t>BUG-017</t>
  </si>
  <si>
    <r>
      <t xml:space="preserve">RAG </t>
    </r>
    <r>
      <rPr>
        <sz val="11"/>
        <rFont val="宋体"/>
        <charset val="134"/>
      </rPr>
      <t>问答存档未按账号隔离</t>
    </r>
  </si>
  <si>
    <t>准备两个账号</t>
  </si>
  <si>
    <t>1. 账号 A 存档 RAG 问答
2. 账号 B 登录查看存档</t>
  </si>
  <si>
    <t>账号 B 可看到账号 A 的存档</t>
  </si>
  <si>
    <t>不同账号只能看到自己的存档</t>
  </si>
  <si>
    <t>RAG 存档使用固定 localStorage key</t>
  </si>
  <si>
    <t>存档 key 拼接 moodboard_current_user</t>
  </si>
  <si>
    <t>BUG-018</t>
  </si>
  <si>
    <r>
      <t xml:space="preserve">RAG </t>
    </r>
    <r>
      <rPr>
        <sz val="11"/>
        <rFont val="宋体"/>
        <charset val="134"/>
      </rPr>
      <t>问答存档删除后页面未及时刷新</t>
    </r>
  </si>
  <si>
    <t>已有 RAG 存档记录</t>
  </si>
  <si>
    <t>1. 点击删除
2. 查看列表</t>
  </si>
  <si>
    <t>删除后列表仍显示旧数据，刷新后才消失</t>
  </si>
  <si>
    <t>点击删除后立即从页面移除</t>
  </si>
  <si>
    <t>删除后未同步更新响应式数组</t>
  </si>
  <si>
    <t>deleteRagArchive 中过滤 ragArchives 并重新保存 localStorage</t>
  </si>
  <si>
    <t>BUG-019</t>
  </si>
  <si>
    <r>
      <t>底部导航仍保留旧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圆桌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独立入口</t>
    </r>
  </si>
  <si>
    <t>打开系统任意页面</t>
  </si>
  <si>
    <r>
      <t xml:space="preserve">1. </t>
    </r>
    <r>
      <rPr>
        <sz val="11"/>
        <rFont val="宋体"/>
        <charset val="134"/>
      </rPr>
      <t>查看底部导航</t>
    </r>
    <r>
      <rPr>
        <sz val="11"/>
        <rFont val="Carlito"/>
        <charset val="134"/>
      </rPr>
      <t xml:space="preserve">
2. </t>
    </r>
    <r>
      <rPr>
        <sz val="11"/>
        <rFont val="宋体"/>
        <charset val="134"/>
      </rPr>
      <t>点击各导航项</t>
    </r>
  </si>
  <si>
    <t>底部导航包含独立圆桌入口，和内容页功能重复</t>
  </si>
  <si>
    <t>只保留内容、知识库、我的</t>
  </si>
  <si>
    <r>
      <t>页面结构调整后未同步</t>
    </r>
    <r>
      <rPr>
        <sz val="11"/>
        <rFont val="Carlito"/>
        <charset val="134"/>
      </rPr>
      <t xml:space="preserve"> MainLayout</t>
    </r>
  </si>
  <si>
    <r>
      <t>修改</t>
    </r>
    <r>
      <rPr>
        <sz val="11"/>
        <rFont val="Carlito"/>
        <charset val="134"/>
      </rPr>
      <t xml:space="preserve"> MainLayout.vue</t>
    </r>
    <r>
      <rPr>
        <sz val="11"/>
        <rFont val="宋体"/>
        <charset val="134"/>
      </rPr>
      <t>，圆桌作为内容页内的生成方式</t>
    </r>
  </si>
  <si>
    <t>AI Agent 多角色圆桌对谈与剧本生成系统 Bug 汇总</t>
  </si>
  <si>
    <t>指标</t>
  </si>
  <si>
    <t>数量</t>
  </si>
  <si>
    <t>Bug 总数</t>
  </si>
  <si>
    <t>修复中</t>
  </si>
  <si>
    <t>未修复</t>
  </si>
  <si>
    <t>回归通过</t>
  </si>
  <si>
    <t>Memory 记忆</t>
  </si>
  <si>
    <t>接口联调</t>
  </si>
  <si>
    <t>前端编译</t>
  </si>
  <si>
    <t>项目文档</t>
  </si>
  <si>
    <t>GitHub 提交</t>
  </si>
  <si>
    <t>使用说明</t>
  </si>
  <si>
    <t>1. Bug记录表支持下拉选择严重程度、优先级、状态、模块和回归结果。</t>
  </si>
  <si>
    <t>2. 统计汇总表自动统计 Bug 数量、严重程度分布和模块分布。</t>
  </si>
  <si>
    <t>3. 本表用于面试展示，可说明已进行缺陷记录、回归验证和测试闭环。</t>
  </si>
  <si>
    <t>P0</t>
  </si>
  <si>
    <t>未回归</t>
  </si>
  <si>
    <t>安姣凝</t>
  </si>
  <si>
    <t>不通过</t>
  </si>
  <si>
    <t>潘子彤</t>
  </si>
  <si>
    <t>已关闭</t>
  </si>
  <si>
    <t>待验证</t>
  </si>
  <si>
    <t>组内共同</t>
  </si>
  <si>
    <t>暂缓处理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</si>
</sst>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b/>
      <sz val="11"/>
      <color rgb="FF833C0C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2" borderId="0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176" fontId="0" fillId="0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5" fillId="0" borderId="0" xfId="49" applyFont="1"/>
    <xf numFmtId="0" fontId="5" fillId="0" borderId="0" xfId="49" applyFont="1" applyAlignment="1">
      <alignment wrapText="1"/>
    </xf>
    <xf numFmtId="14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统计汇总!$D$4:$D$6</c:f>
              <c:strCache>
                <c:ptCount val="3"/>
                <c:pt idx="0">
                  <c:v>高</c:v>
                </c:pt>
                <c:pt idx="1">
                  <c:v>中</c:v>
                </c:pt>
                <c:pt idx="2">
                  <c:v>低</c:v>
                </c:pt>
              </c:strCache>
            </c:strRef>
          </c:cat>
          <c:val>
            <c:numRef>
              <c:f>统计汇总!$E$4:$E$6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f88271-2b35-4019-992d-1218c65c26c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统计汇总!$G$4:$G$15</c:f>
              <c:strCache>
                <c:ptCount val="12"/>
                <c:pt idx="0">
                  <c:v>登录注册</c:v>
                </c:pt>
                <c:pt idx="1">
                  <c:v>账号隔离</c:v>
                </c:pt>
                <c:pt idx="2">
                  <c:v>页面导航</c:v>
                </c:pt>
                <c:pt idx="3">
                  <c:v>内容生产</c:v>
                </c:pt>
                <c:pt idx="4">
                  <c:v>多 Agent 圆桌</c:v>
                </c:pt>
                <c:pt idx="5">
                  <c:v>自定义 Agent</c:v>
                </c:pt>
                <c:pt idx="6">
                  <c:v>Tool Calling</c:v>
                </c:pt>
                <c:pt idx="7">
                  <c:v>RAG 知识库</c:v>
                </c:pt>
                <c:pt idx="8">
                  <c:v>Memory 记忆</c:v>
                </c:pt>
                <c:pt idx="9">
                  <c:v>接口联调</c:v>
                </c:pt>
                <c:pt idx="10">
                  <c:v>自动化测试</c:v>
                </c:pt>
                <c:pt idx="11">
                  <c:v>前端编译</c:v>
                </c:pt>
              </c:strCache>
            </c:strRef>
          </c:cat>
          <c:val>
            <c:numRef>
              <c:f>统计汇总!$H$4:$H$15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55b48a-d839-4cc8-9519-29d37b514fc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0</xdr:colOff>
      <xdr:row>25</xdr:row>
      <xdr:rowOff>0</xdr:rowOff>
    </xdr:to>
    <xdr:graphicFrame>
      <xdr:nvGraphicFramePr>
        <xdr:cNvPr id="2" name="Chart"/>
        <xdr:cNvGraphicFramePr/>
      </xdr:nvGraphicFramePr>
      <xdr:xfrm>
        <a:off x="0" y="1911350"/>
        <a:ext cx="6096000" cy="2862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14</xdr:col>
      <xdr:colOff>0</xdr:colOff>
      <xdr:row>35</xdr:row>
      <xdr:rowOff>0</xdr:rowOff>
    </xdr:to>
    <xdr:graphicFrame>
      <xdr:nvGraphicFramePr>
        <xdr:cNvPr id="3" name="Chart"/>
        <xdr:cNvGraphicFramePr/>
      </xdr:nvGraphicFramePr>
      <xdr:xfrm>
        <a:off x="7315200" y="3225800"/>
        <a:ext cx="6400800" cy="3267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gRecordsTable" displayName="BugRecordsTable" ref="A1:R30">
  <tableColumns count="18">
    <tableColumn id="1" name="Bug编号"/>
    <tableColumn id="2" name="模块"/>
    <tableColumn id="3" name="Bug标题"/>
    <tableColumn id="4" name="严重程度"/>
    <tableColumn id="5" name="优先级"/>
    <tableColumn id="6" name="状态"/>
    <tableColumn id="7" name="发现版本"/>
    <tableColumn id="8" name="发现日期"/>
    <tableColumn id="9" name="前置条件"/>
    <tableColumn id="10" name="复现步骤"/>
    <tableColumn id="11" name="实际结果"/>
    <tableColumn id="12" name="预期结果"/>
    <tableColumn id="13" name="原因分析"/>
    <tableColumn id="14" name="修复方案"/>
    <tableColumn id="15" name="修复负责人"/>
    <tableColumn id="16" name="修复日期"/>
    <tableColumn id="17" name="回归结果"/>
    <tableColumn id="18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gKpiTable" displayName="BugKpiTable" ref="A3:B8">
  <tableColumns count="2">
    <tableColumn id="1" name="指标"/>
    <tableColumn id="2" name="数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veritySummaryTable" displayName="SeveritySummaryTable" ref="D3:E6">
  <tableColumns count="2">
    <tableColumn id="1" name="严重程度"/>
    <tableColumn id="2" name="数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duleSummaryTable" displayName="ModuleSummaryTable" ref="G3:H15">
  <tableColumns count="2">
    <tableColumn id="1" name="模块"/>
    <tableColumn id="2" name="数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DictionaryTable" displayName="DataDictionaryTable" ref="A1:F13">
  <tableColumns count="6">
    <tableColumn id="1" name="严重程度"/>
    <tableColumn id="2" name="优先级"/>
    <tableColumn id="3" name="状态"/>
    <tableColumn id="4" name="回归结果"/>
    <tableColumn id="5" name="模块"/>
    <tableColumn id="6" name="修复负责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topLeftCell="J12" workbookViewId="0">
      <selection activeCell="O11" sqref="O11"/>
    </sheetView>
  </sheetViews>
  <sheetFormatPr defaultColWidth="9" defaultRowHeight="13.5"/>
  <cols>
    <col min="1" max="1" width="11" customWidth="1"/>
    <col min="2" max="2" width="14" customWidth="1"/>
    <col min="3" max="3" width="30" customWidth="1"/>
    <col min="4" max="5" width="10" customWidth="1"/>
    <col min="6" max="6" width="12" customWidth="1"/>
    <col min="7" max="7" width="10" customWidth="1"/>
    <col min="8" max="8" width="12" customWidth="1"/>
    <col min="9" max="9" width="28" customWidth="1"/>
    <col min="10" max="11" width="34" customWidth="1"/>
    <col min="12" max="12" width="34.575" customWidth="1"/>
    <col min="13" max="13" width="34" customWidth="1"/>
    <col min="14" max="14" width="40.1916666666667" customWidth="1"/>
    <col min="15" max="17" width="12" customWidth="1"/>
    <col min="18" max="18" width="22" customWidth="1"/>
  </cols>
  <sheetData>
    <row r="1" ht="28" customHeight="1" spans="1:1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ht="40.5" spans="1:18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9">
        <v>46211</v>
      </c>
      <c r="I2" s="8" t="s">
        <v>25</v>
      </c>
      <c r="J2" s="8" t="s">
        <v>26</v>
      </c>
      <c r="K2" s="8" t="s">
        <v>27</v>
      </c>
      <c r="L2" s="8" t="s">
        <v>28</v>
      </c>
      <c r="M2" s="8" t="s">
        <v>29</v>
      </c>
      <c r="N2" s="8" t="s">
        <v>30</v>
      </c>
      <c r="O2" s="8" t="s">
        <v>31</v>
      </c>
      <c r="P2" s="9">
        <v>46211</v>
      </c>
      <c r="Q2" s="8" t="s">
        <v>32</v>
      </c>
      <c r="R2" s="8" t="s">
        <v>33</v>
      </c>
    </row>
    <row r="3" ht="27" spans="1:18">
      <c r="A3" s="8" t="s">
        <v>34</v>
      </c>
      <c r="B3" s="8" t="s">
        <v>19</v>
      </c>
      <c r="C3" s="10" t="s">
        <v>35</v>
      </c>
      <c r="D3" s="8" t="s">
        <v>21</v>
      </c>
      <c r="E3" s="8" t="s">
        <v>22</v>
      </c>
      <c r="F3" s="8" t="s">
        <v>23</v>
      </c>
      <c r="G3" s="8" t="s">
        <v>24</v>
      </c>
      <c r="H3" s="9">
        <v>46211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31</v>
      </c>
      <c r="P3" s="9">
        <v>46211</v>
      </c>
      <c r="Q3" s="8" t="s">
        <v>32</v>
      </c>
      <c r="R3" s="8" t="s">
        <v>42</v>
      </c>
    </row>
    <row r="4" ht="54" spans="1:18">
      <c r="A4" s="8" t="s">
        <v>43</v>
      </c>
      <c r="B4" s="10" t="s">
        <v>44</v>
      </c>
      <c r="C4" s="10" t="s">
        <v>45</v>
      </c>
      <c r="D4" s="8" t="s">
        <v>21</v>
      </c>
      <c r="E4" s="8" t="s">
        <v>22</v>
      </c>
      <c r="F4" s="8" t="s">
        <v>23</v>
      </c>
      <c r="G4" s="8" t="s">
        <v>24</v>
      </c>
      <c r="H4" s="9">
        <v>46211</v>
      </c>
      <c r="I4" s="8" t="s">
        <v>46</v>
      </c>
      <c r="J4" s="8" t="s">
        <v>47</v>
      </c>
      <c r="K4" s="8" t="s">
        <v>48</v>
      </c>
      <c r="L4" s="8" t="s">
        <v>49</v>
      </c>
      <c r="M4" s="8" t="s">
        <v>50</v>
      </c>
      <c r="N4" s="8" t="s">
        <v>51</v>
      </c>
      <c r="O4" s="8" t="s">
        <v>31</v>
      </c>
      <c r="P4" s="9">
        <v>46211</v>
      </c>
      <c r="Q4" s="8" t="s">
        <v>32</v>
      </c>
      <c r="R4" s="8" t="s">
        <v>52</v>
      </c>
    </row>
    <row r="5" ht="27" spans="1:18">
      <c r="A5" s="8" t="s">
        <v>53</v>
      </c>
      <c r="B5" s="10" t="s">
        <v>54</v>
      </c>
      <c r="C5" s="10" t="s">
        <v>55</v>
      </c>
      <c r="D5" s="8" t="s">
        <v>56</v>
      </c>
      <c r="E5" s="8" t="s">
        <v>57</v>
      </c>
      <c r="F5" s="8" t="s">
        <v>23</v>
      </c>
      <c r="G5" s="8" t="s">
        <v>58</v>
      </c>
      <c r="H5" s="9">
        <v>46212</v>
      </c>
      <c r="I5" s="10" t="s">
        <v>59</v>
      </c>
      <c r="J5" s="8" t="s">
        <v>60</v>
      </c>
      <c r="K5" s="10" t="s">
        <v>61</v>
      </c>
      <c r="L5" s="10" t="s">
        <v>62</v>
      </c>
      <c r="M5" s="8" t="s">
        <v>63</v>
      </c>
      <c r="N5" s="10" t="s">
        <v>64</v>
      </c>
      <c r="O5" s="8" t="s">
        <v>31</v>
      </c>
      <c r="P5" s="9">
        <v>46212</v>
      </c>
      <c r="Q5" s="8" t="s">
        <v>32</v>
      </c>
      <c r="R5" s="10" t="s">
        <v>65</v>
      </c>
    </row>
    <row r="6" ht="27" spans="1:18">
      <c r="A6" s="8" t="s">
        <v>66</v>
      </c>
      <c r="B6" s="8" t="s">
        <v>67</v>
      </c>
      <c r="C6" s="10" t="s">
        <v>68</v>
      </c>
      <c r="D6" s="8" t="s">
        <v>56</v>
      </c>
      <c r="E6" s="8" t="s">
        <v>57</v>
      </c>
      <c r="F6" s="8" t="s">
        <v>23</v>
      </c>
      <c r="G6" s="8" t="s">
        <v>58</v>
      </c>
      <c r="H6" s="9">
        <v>46212</v>
      </c>
      <c r="I6" s="8" t="s">
        <v>69</v>
      </c>
      <c r="J6" s="8" t="s">
        <v>70</v>
      </c>
      <c r="K6" s="8" t="s">
        <v>71</v>
      </c>
      <c r="L6" s="8" t="s">
        <v>72</v>
      </c>
      <c r="M6" s="8" t="s">
        <v>73</v>
      </c>
      <c r="N6" s="8" t="s">
        <v>74</v>
      </c>
      <c r="O6" s="8" t="s">
        <v>31</v>
      </c>
      <c r="P6" s="9">
        <v>46212</v>
      </c>
      <c r="Q6" s="8" t="s">
        <v>32</v>
      </c>
      <c r="R6" s="8" t="s">
        <v>75</v>
      </c>
    </row>
    <row r="7" ht="27" spans="1:18">
      <c r="A7" s="8" t="s">
        <v>76</v>
      </c>
      <c r="B7" s="8" t="s">
        <v>67</v>
      </c>
      <c r="C7" s="10" t="s">
        <v>77</v>
      </c>
      <c r="D7" s="8" t="s">
        <v>21</v>
      </c>
      <c r="E7" s="8" t="s">
        <v>22</v>
      </c>
      <c r="F7" s="8" t="s">
        <v>23</v>
      </c>
      <c r="G7" s="8" t="s">
        <v>58</v>
      </c>
      <c r="H7" s="9">
        <v>46212</v>
      </c>
      <c r="I7" s="8" t="s">
        <v>78</v>
      </c>
      <c r="J7" s="8" t="s">
        <v>79</v>
      </c>
      <c r="K7" s="8" t="s">
        <v>80</v>
      </c>
      <c r="L7" s="8" t="s">
        <v>81</v>
      </c>
      <c r="M7" s="8" t="s">
        <v>82</v>
      </c>
      <c r="N7" s="8" t="s">
        <v>83</v>
      </c>
      <c r="O7" s="8" t="s">
        <v>31</v>
      </c>
      <c r="P7" s="9">
        <v>46212</v>
      </c>
      <c r="Q7" s="8" t="s">
        <v>32</v>
      </c>
      <c r="R7" s="8" t="s">
        <v>84</v>
      </c>
    </row>
    <row r="8" ht="40.5" spans="1:18">
      <c r="A8" s="8" t="s">
        <v>85</v>
      </c>
      <c r="B8" s="8" t="s">
        <v>86</v>
      </c>
      <c r="C8" s="10" t="s">
        <v>87</v>
      </c>
      <c r="D8" s="8" t="s">
        <v>56</v>
      </c>
      <c r="E8" s="8" t="s">
        <v>57</v>
      </c>
      <c r="F8" s="8" t="s">
        <v>23</v>
      </c>
      <c r="G8" s="8" t="s">
        <v>58</v>
      </c>
      <c r="H8" s="9">
        <v>46212</v>
      </c>
      <c r="I8" s="8" t="s">
        <v>88</v>
      </c>
      <c r="J8" s="8" t="s">
        <v>89</v>
      </c>
      <c r="K8" s="8" t="s">
        <v>90</v>
      </c>
      <c r="L8" s="8" t="s">
        <v>91</v>
      </c>
      <c r="M8" s="8" t="s">
        <v>92</v>
      </c>
      <c r="N8" s="8" t="s">
        <v>93</v>
      </c>
      <c r="O8" s="8" t="s">
        <v>31</v>
      </c>
      <c r="P8" s="9">
        <v>46212</v>
      </c>
      <c r="Q8" s="8" t="s">
        <v>32</v>
      </c>
      <c r="R8" s="8" t="s">
        <v>94</v>
      </c>
    </row>
    <row r="9" ht="40.5" spans="1:18">
      <c r="A9" s="8" t="s">
        <v>95</v>
      </c>
      <c r="B9" s="8" t="s">
        <v>67</v>
      </c>
      <c r="C9" s="10" t="s">
        <v>96</v>
      </c>
      <c r="D9" s="8" t="s">
        <v>56</v>
      </c>
      <c r="E9" s="8" t="s">
        <v>57</v>
      </c>
      <c r="F9" s="8" t="s">
        <v>23</v>
      </c>
      <c r="G9" s="8" t="s">
        <v>58</v>
      </c>
      <c r="H9" s="9">
        <v>46212</v>
      </c>
      <c r="I9" s="8" t="s">
        <v>97</v>
      </c>
      <c r="J9" s="8" t="s">
        <v>98</v>
      </c>
      <c r="K9" s="8" t="s">
        <v>99</v>
      </c>
      <c r="L9" s="8" t="s">
        <v>100</v>
      </c>
      <c r="M9" s="8" t="s">
        <v>101</v>
      </c>
      <c r="N9" s="8" t="s">
        <v>102</v>
      </c>
      <c r="O9" s="8" t="s">
        <v>31</v>
      </c>
      <c r="P9" s="9">
        <v>46212</v>
      </c>
      <c r="Q9" s="8" t="s">
        <v>32</v>
      </c>
      <c r="R9" s="8" t="s">
        <v>103</v>
      </c>
    </row>
    <row r="10" ht="27" spans="1:18">
      <c r="A10" s="8" t="s">
        <v>104</v>
      </c>
      <c r="B10" s="8" t="s">
        <v>105</v>
      </c>
      <c r="C10" s="10" t="s">
        <v>106</v>
      </c>
      <c r="D10" s="8" t="s">
        <v>56</v>
      </c>
      <c r="E10" s="8" t="s">
        <v>57</v>
      </c>
      <c r="F10" s="8" t="s">
        <v>23</v>
      </c>
      <c r="G10" s="8" t="s">
        <v>24</v>
      </c>
      <c r="H10" s="9">
        <v>46211</v>
      </c>
      <c r="I10" s="8" t="s">
        <v>107</v>
      </c>
      <c r="J10" s="8" t="s">
        <v>108</v>
      </c>
      <c r="K10" s="8" t="s">
        <v>109</v>
      </c>
      <c r="L10" s="8" t="s">
        <v>110</v>
      </c>
      <c r="M10" s="8" t="s">
        <v>111</v>
      </c>
      <c r="N10" s="8" t="s">
        <v>112</v>
      </c>
      <c r="O10" s="8" t="s">
        <v>31</v>
      </c>
      <c r="P10" s="9">
        <v>46211</v>
      </c>
      <c r="Q10" s="8" t="s">
        <v>32</v>
      </c>
      <c r="R10" s="8" t="s">
        <v>113</v>
      </c>
    </row>
    <row r="11" ht="27" spans="1:18">
      <c r="A11" s="8" t="s">
        <v>114</v>
      </c>
      <c r="B11" s="8" t="s">
        <v>105</v>
      </c>
      <c r="C11" s="10" t="s">
        <v>115</v>
      </c>
      <c r="D11" s="8" t="s">
        <v>56</v>
      </c>
      <c r="E11" s="8" t="s">
        <v>57</v>
      </c>
      <c r="F11" s="8" t="s">
        <v>23</v>
      </c>
      <c r="G11" s="8" t="s">
        <v>24</v>
      </c>
      <c r="H11" s="9">
        <v>46211</v>
      </c>
      <c r="I11" s="8" t="s">
        <v>107</v>
      </c>
      <c r="J11" s="8" t="s">
        <v>116</v>
      </c>
      <c r="K11" s="8" t="s">
        <v>117</v>
      </c>
      <c r="L11" s="8" t="s">
        <v>118</v>
      </c>
      <c r="M11" s="8" t="s">
        <v>119</v>
      </c>
      <c r="N11" s="8" t="s">
        <v>120</v>
      </c>
      <c r="O11" s="8" t="s">
        <v>31</v>
      </c>
      <c r="P11" s="9">
        <v>46211</v>
      </c>
      <c r="Q11" s="8" t="s">
        <v>32</v>
      </c>
      <c r="R11" s="8" t="s">
        <v>113</v>
      </c>
    </row>
    <row r="12" ht="54" spans="1:18">
      <c r="A12" s="8" t="s">
        <v>121</v>
      </c>
      <c r="B12" s="8" t="s">
        <v>105</v>
      </c>
      <c r="C12" s="10" t="s">
        <v>122</v>
      </c>
      <c r="D12" s="8" t="s">
        <v>56</v>
      </c>
      <c r="E12" s="8" t="s">
        <v>57</v>
      </c>
      <c r="F12" s="8" t="s">
        <v>23</v>
      </c>
      <c r="G12" s="8" t="s">
        <v>58</v>
      </c>
      <c r="H12" s="9">
        <v>46212</v>
      </c>
      <c r="I12" s="8" t="s">
        <v>123</v>
      </c>
      <c r="J12" s="8" t="s">
        <v>124</v>
      </c>
      <c r="K12" s="8" t="s">
        <v>125</v>
      </c>
      <c r="L12" s="8" t="s">
        <v>126</v>
      </c>
      <c r="M12" s="8" t="s">
        <v>127</v>
      </c>
      <c r="N12" s="8" t="s">
        <v>128</v>
      </c>
      <c r="O12" s="8" t="s">
        <v>31</v>
      </c>
      <c r="P12" s="9">
        <v>46212</v>
      </c>
      <c r="Q12" s="8" t="s">
        <v>32</v>
      </c>
      <c r="R12" s="8" t="s">
        <v>113</v>
      </c>
    </row>
    <row r="13" ht="40.5" spans="1:18">
      <c r="A13" s="8" t="s">
        <v>129</v>
      </c>
      <c r="B13" s="8" t="s">
        <v>105</v>
      </c>
      <c r="C13" s="8" t="s">
        <v>130</v>
      </c>
      <c r="D13" s="8" t="s">
        <v>21</v>
      </c>
      <c r="E13" s="8" t="s">
        <v>22</v>
      </c>
      <c r="F13" s="8" t="s">
        <v>23</v>
      </c>
      <c r="G13" s="8" t="s">
        <v>58</v>
      </c>
      <c r="H13" s="9">
        <v>46212</v>
      </c>
      <c r="I13" s="8" t="s">
        <v>131</v>
      </c>
      <c r="J13" s="8" t="s">
        <v>132</v>
      </c>
      <c r="K13" s="8" t="s">
        <v>133</v>
      </c>
      <c r="L13" s="8" t="s">
        <v>134</v>
      </c>
      <c r="M13" s="8" t="s">
        <v>135</v>
      </c>
      <c r="N13" s="8" t="s">
        <v>136</v>
      </c>
      <c r="O13" s="8" t="s">
        <v>31</v>
      </c>
      <c r="P13" s="9">
        <v>46212</v>
      </c>
      <c r="Q13" s="8" t="s">
        <v>32</v>
      </c>
      <c r="R13" s="8" t="s">
        <v>137</v>
      </c>
    </row>
    <row r="14" ht="67.5" spans="1:18">
      <c r="A14" s="8" t="s">
        <v>138</v>
      </c>
      <c r="B14" s="10" t="s">
        <v>139</v>
      </c>
      <c r="C14" s="10" t="s">
        <v>140</v>
      </c>
      <c r="D14" s="8" t="s">
        <v>56</v>
      </c>
      <c r="E14" s="8" t="s">
        <v>57</v>
      </c>
      <c r="F14" s="8" t="s">
        <v>23</v>
      </c>
      <c r="G14" s="8" t="s">
        <v>58</v>
      </c>
      <c r="H14" s="9">
        <v>46212</v>
      </c>
      <c r="I14" s="8"/>
      <c r="J14" s="10" t="s">
        <v>141</v>
      </c>
      <c r="K14" s="10" t="s">
        <v>142</v>
      </c>
      <c r="L14" s="10" t="s">
        <v>143</v>
      </c>
      <c r="M14" s="8"/>
      <c r="N14" s="10" t="s">
        <v>144</v>
      </c>
      <c r="O14" s="10" t="s">
        <v>31</v>
      </c>
      <c r="P14" s="9">
        <v>46212</v>
      </c>
      <c r="Q14" s="8" t="s">
        <v>32</v>
      </c>
      <c r="R14" s="8"/>
    </row>
    <row r="15" ht="40.5" spans="1:18">
      <c r="A15" s="8" t="s">
        <v>145</v>
      </c>
      <c r="B15" s="8" t="s">
        <v>146</v>
      </c>
      <c r="C15" s="10" t="s">
        <v>147</v>
      </c>
      <c r="D15" s="8" t="s">
        <v>148</v>
      </c>
      <c r="E15" s="8" t="s">
        <v>149</v>
      </c>
      <c r="F15" s="8" t="s">
        <v>23</v>
      </c>
      <c r="G15" s="8" t="s">
        <v>24</v>
      </c>
      <c r="H15" s="9">
        <v>46211</v>
      </c>
      <c r="I15" s="8" t="s">
        <v>150</v>
      </c>
      <c r="J15" s="8" t="s">
        <v>151</v>
      </c>
      <c r="K15" s="8" t="s">
        <v>152</v>
      </c>
      <c r="L15" s="8" t="s">
        <v>153</v>
      </c>
      <c r="M15" s="8" t="s">
        <v>154</v>
      </c>
      <c r="N15" s="8" t="s">
        <v>155</v>
      </c>
      <c r="O15" s="8" t="s">
        <v>31</v>
      </c>
      <c r="P15" s="9">
        <v>46211</v>
      </c>
      <c r="Q15" s="8" t="s">
        <v>32</v>
      </c>
      <c r="R15" s="8" t="s">
        <v>113</v>
      </c>
    </row>
    <row r="16" ht="27" spans="1:18">
      <c r="A16" s="8" t="s">
        <v>156</v>
      </c>
      <c r="B16" s="8" t="s">
        <v>146</v>
      </c>
      <c r="C16" s="10" t="s">
        <v>157</v>
      </c>
      <c r="D16" s="8" t="s">
        <v>148</v>
      </c>
      <c r="E16" s="8" t="s">
        <v>149</v>
      </c>
      <c r="F16" s="8" t="s">
        <v>23</v>
      </c>
      <c r="G16" s="8" t="s">
        <v>24</v>
      </c>
      <c r="H16" s="9">
        <v>46211</v>
      </c>
      <c r="I16" s="8" t="s">
        <v>158</v>
      </c>
      <c r="J16" s="8" t="s">
        <v>159</v>
      </c>
      <c r="K16" s="8" t="s">
        <v>160</v>
      </c>
      <c r="L16" s="8" t="s">
        <v>161</v>
      </c>
      <c r="M16" s="8" t="s">
        <v>162</v>
      </c>
      <c r="N16" s="8" t="s">
        <v>163</v>
      </c>
      <c r="O16" s="8" t="s">
        <v>31</v>
      </c>
      <c r="P16" s="9">
        <v>46211</v>
      </c>
      <c r="Q16" s="8" t="s">
        <v>32</v>
      </c>
      <c r="R16" s="8" t="s">
        <v>113</v>
      </c>
    </row>
    <row r="17" ht="40.5" spans="1:18">
      <c r="A17" s="8" t="s">
        <v>164</v>
      </c>
      <c r="B17" s="8" t="s">
        <v>165</v>
      </c>
      <c r="C17" s="10" t="s">
        <v>166</v>
      </c>
      <c r="D17" s="8" t="s">
        <v>56</v>
      </c>
      <c r="E17" s="8" t="s">
        <v>57</v>
      </c>
      <c r="F17" s="8" t="s">
        <v>23</v>
      </c>
      <c r="G17" s="8" t="s">
        <v>24</v>
      </c>
      <c r="H17" s="9">
        <v>46211</v>
      </c>
      <c r="I17" s="8" t="s">
        <v>167</v>
      </c>
      <c r="J17" s="8" t="s">
        <v>168</v>
      </c>
      <c r="K17" s="8" t="s">
        <v>169</v>
      </c>
      <c r="L17" s="8" t="s">
        <v>170</v>
      </c>
      <c r="M17" s="8" t="s">
        <v>171</v>
      </c>
      <c r="N17" s="8" t="s">
        <v>172</v>
      </c>
      <c r="O17" s="8" t="s">
        <v>31</v>
      </c>
      <c r="P17" s="9">
        <v>46211</v>
      </c>
      <c r="Q17" s="8" t="s">
        <v>32</v>
      </c>
      <c r="R17" s="8" t="s">
        <v>173</v>
      </c>
    </row>
    <row r="18" ht="27" spans="1:18">
      <c r="A18" s="8" t="s">
        <v>174</v>
      </c>
      <c r="B18" s="8" t="s">
        <v>165</v>
      </c>
      <c r="C18" s="8" t="s">
        <v>175</v>
      </c>
      <c r="D18" s="8" t="s">
        <v>56</v>
      </c>
      <c r="E18" s="8" t="s">
        <v>57</v>
      </c>
      <c r="F18" s="8" t="s">
        <v>23</v>
      </c>
      <c r="G18" s="8" t="s">
        <v>58</v>
      </c>
      <c r="H18" s="9">
        <v>46212</v>
      </c>
      <c r="I18" s="8" t="s">
        <v>176</v>
      </c>
      <c r="J18" s="8" t="s">
        <v>177</v>
      </c>
      <c r="K18" s="8" t="s">
        <v>178</v>
      </c>
      <c r="L18" s="8" t="s">
        <v>179</v>
      </c>
      <c r="M18" s="8" t="s">
        <v>180</v>
      </c>
      <c r="N18" s="8" t="s">
        <v>181</v>
      </c>
      <c r="O18" s="8" t="s">
        <v>31</v>
      </c>
      <c r="P18" s="9">
        <v>46212</v>
      </c>
      <c r="Q18" s="8" t="s">
        <v>32</v>
      </c>
      <c r="R18" s="8" t="s">
        <v>113</v>
      </c>
    </row>
    <row r="19" ht="27" spans="1:18">
      <c r="A19" s="8" t="s">
        <v>182</v>
      </c>
      <c r="B19" s="8" t="s">
        <v>165</v>
      </c>
      <c r="C19" s="8" t="s">
        <v>183</v>
      </c>
      <c r="D19" s="8" t="s">
        <v>148</v>
      </c>
      <c r="E19" s="8" t="s">
        <v>149</v>
      </c>
      <c r="F19" s="8" t="s">
        <v>23</v>
      </c>
      <c r="G19" s="8" t="s">
        <v>58</v>
      </c>
      <c r="H19" s="9">
        <v>46212</v>
      </c>
      <c r="I19" s="8" t="s">
        <v>184</v>
      </c>
      <c r="J19" s="8" t="s">
        <v>185</v>
      </c>
      <c r="K19" s="8" t="s">
        <v>186</v>
      </c>
      <c r="L19" s="8" t="s">
        <v>187</v>
      </c>
      <c r="M19" s="8" t="s">
        <v>188</v>
      </c>
      <c r="N19" s="8" t="s">
        <v>189</v>
      </c>
      <c r="O19" s="8" t="s">
        <v>31</v>
      </c>
      <c r="P19" s="9">
        <v>46212</v>
      </c>
      <c r="Q19" s="8" t="s">
        <v>32</v>
      </c>
      <c r="R19" s="8" t="s">
        <v>113</v>
      </c>
    </row>
    <row r="20" ht="27" spans="1:18">
      <c r="A20" s="8" t="s">
        <v>190</v>
      </c>
      <c r="B20" s="10" t="s">
        <v>139</v>
      </c>
      <c r="C20" s="10" t="s">
        <v>191</v>
      </c>
      <c r="D20" s="8" t="s">
        <v>148</v>
      </c>
      <c r="E20" s="8" t="s">
        <v>149</v>
      </c>
      <c r="F20" s="8" t="s">
        <v>23</v>
      </c>
      <c r="G20" s="8" t="s">
        <v>58</v>
      </c>
      <c r="H20" s="9">
        <v>46212</v>
      </c>
      <c r="I20" s="10" t="s">
        <v>192</v>
      </c>
      <c r="J20" s="8" t="s">
        <v>193</v>
      </c>
      <c r="K20" s="10" t="s">
        <v>194</v>
      </c>
      <c r="L20" s="10" t="s">
        <v>195</v>
      </c>
      <c r="M20" s="10" t="s">
        <v>196</v>
      </c>
      <c r="N20" s="10" t="s">
        <v>197</v>
      </c>
      <c r="O20" s="8" t="s">
        <v>31</v>
      </c>
      <c r="P20" s="9">
        <v>46212</v>
      </c>
      <c r="Q20" s="8" t="s">
        <v>32</v>
      </c>
      <c r="R20" s="8"/>
    </row>
    <row r="21" spans="1:18">
      <c r="A21" s="8"/>
      <c r="B21" s="10"/>
      <c r="C21" s="10"/>
      <c r="D21" s="8"/>
      <c r="E21" s="8"/>
      <c r="F21" s="8"/>
      <c r="G21" s="8"/>
      <c r="H21" s="9"/>
      <c r="I21" s="10"/>
      <c r="J21" s="8"/>
      <c r="K21" s="10"/>
      <c r="L21" s="10"/>
      <c r="M21" s="10"/>
      <c r="N21" s="10"/>
      <c r="O21" s="10"/>
      <c r="P21" s="9"/>
      <c r="Q21" s="8"/>
      <c r="R21" s="8"/>
    </row>
    <row r="22" spans="1:18">
      <c r="A22" s="8"/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  <c r="N22" s="8"/>
      <c r="O22" s="8"/>
      <c r="P22" s="9"/>
      <c r="Q22" s="8"/>
      <c r="R22" s="8"/>
    </row>
    <row r="23" spans="1:18">
      <c r="A23" s="8"/>
      <c r="B23" s="8"/>
      <c r="C23" s="8"/>
      <c r="D23" s="8"/>
      <c r="E23" s="8"/>
      <c r="F23" s="8"/>
      <c r="G23" s="8"/>
      <c r="H23" s="9"/>
      <c r="I23" s="8"/>
      <c r="J23" s="8"/>
      <c r="K23" s="8"/>
      <c r="L23" s="8"/>
      <c r="M23" s="8"/>
      <c r="N23" s="8"/>
      <c r="O23" s="8"/>
      <c r="P23" s="9"/>
      <c r="Q23" s="8"/>
      <c r="R23" s="8"/>
    </row>
    <row r="24" spans="1:18">
      <c r="A24" s="8"/>
      <c r="B24" s="8"/>
      <c r="C24" s="8"/>
      <c r="D24" s="8"/>
      <c r="E24" s="8"/>
      <c r="F24" s="8"/>
      <c r="G24" s="8"/>
      <c r="H24" s="9"/>
      <c r="I24" s="8"/>
      <c r="J24" s="8"/>
      <c r="K24" s="8"/>
      <c r="L24" s="8"/>
      <c r="M24" s="8"/>
      <c r="N24" s="8"/>
      <c r="O24" s="8"/>
      <c r="P24" s="9"/>
      <c r="Q24" s="8"/>
      <c r="R24" s="8"/>
    </row>
    <row r="25" spans="1:18">
      <c r="A25" s="8"/>
      <c r="B25" s="8"/>
      <c r="C25" s="8"/>
      <c r="D25" s="8"/>
      <c r="E25" s="8"/>
      <c r="F25" s="8"/>
      <c r="G25" s="8"/>
      <c r="H25" s="9"/>
      <c r="I25" s="8"/>
      <c r="J25" s="8"/>
      <c r="K25" s="8"/>
      <c r="L25" s="8"/>
      <c r="M25" s="8"/>
      <c r="N25" s="8"/>
      <c r="O25" s="8"/>
      <c r="P25" s="9"/>
      <c r="Q25" s="8"/>
      <c r="R25" s="8"/>
    </row>
    <row r="26" spans="1:18">
      <c r="A26" s="8"/>
      <c r="B26" s="10"/>
      <c r="C26" s="8"/>
      <c r="D26" s="8"/>
      <c r="E26" s="8"/>
      <c r="F26" s="8"/>
      <c r="G26" s="8"/>
      <c r="H26" s="9"/>
      <c r="I26" s="10"/>
      <c r="J26" s="8"/>
      <c r="K26" s="10"/>
      <c r="L26" s="10"/>
      <c r="M26" s="8"/>
      <c r="N26" s="10"/>
      <c r="O26" s="8"/>
      <c r="P26" s="9"/>
      <c r="Q26" s="8"/>
      <c r="R26" s="8"/>
    </row>
    <row r="27" spans="1:18">
      <c r="A27" s="8"/>
      <c r="B27" s="8"/>
      <c r="C27" s="8"/>
      <c r="D27" s="8"/>
      <c r="E27" s="8"/>
      <c r="F27" s="8"/>
      <c r="G27" s="8"/>
      <c r="H27" s="9"/>
      <c r="I27" s="8"/>
      <c r="J27" s="8"/>
      <c r="K27" s="8"/>
      <c r="L27" s="8"/>
      <c r="M27" s="8"/>
      <c r="N27" s="8"/>
      <c r="O27" s="8"/>
      <c r="P27" s="9"/>
      <c r="Q27" s="8"/>
      <c r="R27" s="8"/>
    </row>
    <row r="28" spans="1:18">
      <c r="A28" s="8"/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9"/>
      <c r="Q28" s="8"/>
      <c r="R28" s="8"/>
    </row>
    <row r="29" spans="1:18">
      <c r="A29" s="8"/>
      <c r="B29" s="8"/>
      <c r="C29" s="8"/>
      <c r="D29" s="8"/>
      <c r="E29" s="8"/>
      <c r="F29" s="8"/>
      <c r="G29" s="8"/>
      <c r="H29" s="9"/>
      <c r="I29" s="8"/>
      <c r="J29" s="8"/>
      <c r="K29" s="8"/>
      <c r="L29" s="8"/>
      <c r="M29" s="8"/>
      <c r="N29" s="8"/>
      <c r="O29" s="8"/>
      <c r="P29" s="9"/>
      <c r="Q29" s="8"/>
      <c r="R29" s="8"/>
    </row>
    <row r="30" ht="16" customHeight="1" spans="1:18">
      <c r="B30" s="11"/>
      <c r="C30" s="12"/>
      <c r="D30"/>
      <c r="E30"/>
      <c r="F30"/>
      <c r="G30"/>
      <c r="H30" s="13"/>
      <c r="J30" s="12"/>
      <c r="K30" s="11"/>
      <c r="L30" s="12"/>
      <c r="N30" s="12"/>
      <c r="O30" s="11"/>
    </row>
  </sheetData>
  <conditionalFormatting sqref="D2:D30">
    <cfRule type="expression" dxfId="0" priority="1">
      <formula>D2="高"</formula>
    </cfRule>
    <cfRule type="expression" dxfId="1" priority="2">
      <formula>D2="中"</formula>
    </cfRule>
    <cfRule type="expression" dxfId="2" priority="3">
      <formula>D2="低"</formula>
    </cfRule>
  </conditionalFormatting>
  <conditionalFormatting sqref="F2:F30">
    <cfRule type="expression" dxfId="2" priority="4">
      <formula>F2="已修复"</formula>
    </cfRule>
    <cfRule type="expression" dxfId="1" priority="5">
      <formula>F2="修复中"</formula>
    </cfRule>
    <cfRule type="expression" dxfId="0" priority="6">
      <formula>F2="未修复"</formula>
    </cfRule>
  </conditionalFormatting>
  <conditionalFormatting sqref="Q2:Q30">
    <cfRule type="expression" dxfId="2" priority="7">
      <formula>Q2="通过"</formula>
    </cfRule>
    <cfRule type="expression" dxfId="0" priority="8">
      <formula>Q2="不通过"</formula>
    </cfRule>
  </conditionalFormatting>
  <dataValidations count="6">
    <dataValidation type="list" sqref="B30 B2:B29">
      <formula1>数据字典!$E$2:$E$15</formula1>
    </dataValidation>
    <dataValidation type="list" sqref="D30 D2:D29">
      <formula1>数据字典!$A$2:$A$4</formula1>
    </dataValidation>
    <dataValidation type="list" sqref="E30 E2:E29">
      <formula1>数据字典!$B$2:$B$5</formula1>
    </dataValidation>
    <dataValidation type="list" sqref="F30 F2:F29">
      <formula1>数据字典!$C$2:$C$6</formula1>
    </dataValidation>
    <dataValidation type="list" sqref="O30 O2:O29">
      <formula1>数据字典!$F$2:$F$5</formula1>
    </dataValidation>
    <dataValidation type="list" sqref="Q30 Q2:Q29">
      <formula1>数据字典!$D$2:$D$5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21" workbookViewId="0">
      <selection activeCell="F6" sqref="F6"/>
    </sheetView>
  </sheetViews>
  <sheetFormatPr defaultColWidth="9" defaultRowHeight="13.5" outlineLevelCol="7"/>
  <cols>
    <col min="1" max="6" width="16" customWidth="1"/>
    <col min="7" max="7" width="18" customWidth="1"/>
    <col min="8" max="8" width="12" customWidth="1"/>
  </cols>
  <sheetData>
    <row r="1" ht="32" customHeight="1" spans="1:8">
      <c r="A1" s="2" t="s">
        <v>198</v>
      </c>
    </row>
    <row r="3" ht="15" customHeight="1" spans="1:8">
      <c r="A3" s="3" t="s">
        <v>199</v>
      </c>
      <c r="B3" s="3" t="s">
        <v>200</v>
      </c>
      <c r="C3" s="4"/>
      <c r="D3" s="3" t="s">
        <v>3</v>
      </c>
      <c r="E3" s="3" t="s">
        <v>200</v>
      </c>
      <c r="F3" s="4"/>
      <c r="G3" s="3" t="s">
        <v>1</v>
      </c>
      <c r="H3" s="3" t="s">
        <v>200</v>
      </c>
    </row>
    <row r="4" ht="15" customHeight="1" spans="1:8">
      <c r="A4" s="5" t="s">
        <v>201</v>
      </c>
      <c r="B4" s="4">
        <f>COUNTA(Bug记录表!A2:A30)</f>
        <v>19</v>
      </c>
      <c r="C4" s="4"/>
      <c r="D4" s="5" t="s">
        <v>21</v>
      </c>
      <c r="E4" s="4">
        <f>COUNTIF(Bug记录表!D2:D30,D4)</f>
        <v>5</v>
      </c>
      <c r="F4" s="4"/>
      <c r="G4" s="5" t="s">
        <v>19</v>
      </c>
      <c r="H4" s="4">
        <f>COUNTIF(Bug记录表!B2:B30,G4)</f>
        <v>2</v>
      </c>
    </row>
    <row r="5" ht="15" customHeight="1" spans="1:8">
      <c r="A5" s="5" t="s">
        <v>23</v>
      </c>
      <c r="B5" s="4">
        <f>COUNTIF(Bug记录表!F2:F30,"已修复")</f>
        <v>19</v>
      </c>
      <c r="C5" s="4"/>
      <c r="D5" s="5" t="s">
        <v>56</v>
      </c>
      <c r="E5" s="4">
        <f>COUNTIF(Bug记录表!D2:D30,D5)</f>
        <v>10</v>
      </c>
      <c r="F5" s="4"/>
      <c r="G5" s="5" t="s">
        <v>44</v>
      </c>
      <c r="H5" s="4">
        <f>COUNTIF(Bug记录表!B2:B30,G5)</f>
        <v>1</v>
      </c>
    </row>
    <row r="6" ht="15" customHeight="1" spans="1:8">
      <c r="A6" s="5" t="s">
        <v>202</v>
      </c>
      <c r="B6" s="4">
        <f>COUNTIF(Bug记录表!F2:F30,"修复中")</f>
        <v>0</v>
      </c>
      <c r="C6" s="4"/>
      <c r="D6" s="5" t="s">
        <v>148</v>
      </c>
      <c r="E6" s="4">
        <f>COUNTIF(Bug记录表!D2:D30,D6)</f>
        <v>4</v>
      </c>
      <c r="F6" s="4"/>
      <c r="G6" s="5" t="s">
        <v>139</v>
      </c>
      <c r="H6" s="4">
        <f>COUNTIF(Bug记录表!B2:B30,G6)</f>
        <v>2</v>
      </c>
    </row>
    <row r="7" ht="15" customHeight="1" spans="1:8">
      <c r="A7" s="5" t="s">
        <v>203</v>
      </c>
      <c r="B7" s="4">
        <f>COUNTIF(Bug记录表!F2:F30,"未修复")</f>
        <v>0</v>
      </c>
      <c r="C7" s="4"/>
      <c r="D7" s="4"/>
      <c r="E7" s="4"/>
      <c r="F7" s="4"/>
      <c r="G7" s="5" t="s">
        <v>67</v>
      </c>
      <c r="H7" s="4">
        <f>COUNTIF(Bug记录表!B2:B30,G7)</f>
        <v>3</v>
      </c>
    </row>
    <row r="8" ht="15" customHeight="1" spans="1:8">
      <c r="A8" s="5" t="s">
        <v>204</v>
      </c>
      <c r="B8" s="4">
        <f>COUNTIF(Bug记录表!Q2:Q30,"通过")</f>
        <v>19</v>
      </c>
      <c r="C8" s="4"/>
      <c r="D8" s="4"/>
      <c r="E8" s="4"/>
      <c r="F8" s="4"/>
      <c r="G8" s="5" t="s">
        <v>105</v>
      </c>
      <c r="H8" s="4">
        <f>COUNTIF(Bug记录表!B2:B30,G8)</f>
        <v>4</v>
      </c>
    </row>
    <row r="9" ht="15" customHeight="1" spans="1:8">
      <c r="A9" s="4"/>
      <c r="B9" s="4"/>
      <c r="C9" s="4"/>
      <c r="D9" s="4"/>
      <c r="E9" s="4"/>
      <c r="F9" s="4"/>
      <c r="G9" s="5" t="s">
        <v>146</v>
      </c>
      <c r="H9" s="4">
        <f>COUNTIF(Bug记录表!B2:B30,G9)</f>
        <v>2</v>
      </c>
    </row>
    <row r="10" ht="15" customHeight="1" spans="1:8">
      <c r="A10" s="4"/>
      <c r="B10" s="4"/>
      <c r="C10" s="4"/>
      <c r="D10" s="4"/>
      <c r="E10" s="4"/>
      <c r="F10" s="4"/>
      <c r="G10" s="5" t="s">
        <v>86</v>
      </c>
      <c r="H10" s="4">
        <f>COUNTIF(Bug记录表!B2:B30,G10)</f>
        <v>1</v>
      </c>
    </row>
    <row r="11" ht="15" customHeight="1" spans="1:8">
      <c r="A11" s="4"/>
      <c r="B11" s="4"/>
      <c r="C11" s="4"/>
      <c r="D11" s="4"/>
      <c r="E11" s="4"/>
      <c r="F11" s="4"/>
      <c r="G11" s="5" t="s">
        <v>165</v>
      </c>
      <c r="H11" s="4">
        <f>COUNTIF(Bug记录表!B2:B30,G11)</f>
        <v>3</v>
      </c>
    </row>
    <row r="12" ht="15" customHeight="1" spans="1:8">
      <c r="A12" s="4"/>
      <c r="B12" s="4"/>
      <c r="C12" s="4"/>
      <c r="D12" s="4"/>
      <c r="E12" s="4"/>
      <c r="F12" s="4"/>
      <c r="G12" s="5" t="s">
        <v>205</v>
      </c>
      <c r="H12" s="4">
        <f>COUNTIF(Bug记录表!B2:B30,G12)</f>
        <v>0</v>
      </c>
    </row>
    <row r="13" ht="15" customHeight="1" spans="1:8">
      <c r="A13" s="4"/>
      <c r="B13" s="4"/>
      <c r="C13" s="4"/>
      <c r="D13" s="4"/>
      <c r="E13" s="4"/>
      <c r="F13" s="4"/>
      <c r="G13" s="5" t="s">
        <v>206</v>
      </c>
      <c r="H13" s="4">
        <f>COUNTIF(Bug记录表!B2:B30,G13)</f>
        <v>0</v>
      </c>
    </row>
    <row r="14" ht="15" customHeight="1" spans="1:8">
      <c r="A14" s="4"/>
      <c r="B14" s="4"/>
      <c r="C14" s="4"/>
      <c r="D14" s="4"/>
      <c r="E14" s="4"/>
      <c r="F14" s="4"/>
      <c r="G14" s="5" t="s">
        <v>54</v>
      </c>
      <c r="H14" s="4">
        <f>COUNTIF(Bug记录表!B2:B30,G14)</f>
        <v>1</v>
      </c>
    </row>
    <row r="15" ht="15" customHeight="1" spans="1:8">
      <c r="A15" s="4"/>
      <c r="B15" s="4"/>
      <c r="C15" s="4"/>
      <c r="D15" s="4"/>
      <c r="E15" s="4"/>
      <c r="F15" s="4"/>
      <c r="G15" s="5" t="s">
        <v>207</v>
      </c>
      <c r="H15" s="4">
        <f>COUNTIF(Bug记录表!B2:B30,G15)</f>
        <v>0</v>
      </c>
    </row>
    <row r="16" spans="1:8">
      <c r="G16" s="5" t="s">
        <v>208</v>
      </c>
      <c r="H16" s="4">
        <f>COUNTIF(Bug记录表!B2:B30,G16)</f>
        <v>0</v>
      </c>
    </row>
    <row r="17" ht="13.9" spans="1:8">
      <c r="G17" s="5" t="s">
        <v>209</v>
      </c>
      <c r="H17" s="4">
        <f>COUNTIF(Bug记录表!B2:B30,G17)</f>
        <v>0</v>
      </c>
    </row>
    <row r="28" ht="13.85" spans="1:8">
      <c r="A28" s="6" t="s">
        <v>210</v>
      </c>
      <c r="B28" t="s">
        <v>113</v>
      </c>
      <c r="C28" t="s">
        <v>113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</row>
    <row r="29" spans="1:8">
      <c r="A29" s="4" t="s">
        <v>211</v>
      </c>
      <c r="B29" t="s">
        <v>113</v>
      </c>
      <c r="C29" t="s">
        <v>113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</row>
    <row r="30" spans="1:8">
      <c r="A30" s="4" t="s">
        <v>212</v>
      </c>
      <c r="B30" t="s">
        <v>113</v>
      </c>
      <c r="C30" t="s">
        <v>113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</row>
    <row r="31" spans="1:8">
      <c r="A31" s="4" t="s">
        <v>213</v>
      </c>
      <c r="B31" t="s">
        <v>113</v>
      </c>
      <c r="C31" t="s">
        <v>113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</row>
  </sheetData>
  <mergeCells count="5">
    <mergeCell ref="A1:H1"/>
    <mergeCell ref="A28:H28"/>
    <mergeCell ref="A29:H29"/>
    <mergeCell ref="A30:H30"/>
    <mergeCell ref="A31:H31"/>
  </mergeCells>
  <pageMargins left="0.7" right="0.7" top="0.75" bottom="0.75" header="0.3" footer="0.3"/>
  <headerFooter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9" defaultRowHeight="13.5" outlineLevelCol="5"/>
  <cols>
    <col min="1" max="6" width="18" customWidth="1"/>
  </cols>
  <sheetData>
    <row r="1" ht="13.85" spans="1:6">
      <c r="A1" s="1" t="s">
        <v>3</v>
      </c>
      <c r="B1" s="1" t="s">
        <v>4</v>
      </c>
      <c r="C1" s="1" t="s">
        <v>5</v>
      </c>
      <c r="D1" s="1" t="s">
        <v>16</v>
      </c>
      <c r="E1" s="1" t="s">
        <v>1</v>
      </c>
      <c r="F1" s="1" t="s">
        <v>14</v>
      </c>
    </row>
    <row r="2" spans="1:6">
      <c r="A2" t="s">
        <v>21</v>
      </c>
      <c r="B2" t="s">
        <v>214</v>
      </c>
      <c r="C2" t="s">
        <v>203</v>
      </c>
      <c r="D2" t="s">
        <v>215</v>
      </c>
      <c r="E2" t="s">
        <v>19</v>
      </c>
      <c r="F2" t="s">
        <v>31</v>
      </c>
    </row>
    <row r="3" spans="1:6">
      <c r="A3" t="s">
        <v>56</v>
      </c>
      <c r="B3" t="s">
        <v>22</v>
      </c>
      <c r="C3" t="s">
        <v>202</v>
      </c>
      <c r="D3" t="s">
        <v>32</v>
      </c>
      <c r="E3" t="s">
        <v>44</v>
      </c>
      <c r="F3" t="s">
        <v>216</v>
      </c>
    </row>
    <row r="4" spans="1:6">
      <c r="A4" t="s">
        <v>148</v>
      </c>
      <c r="B4" t="s">
        <v>57</v>
      </c>
      <c r="C4" t="s">
        <v>23</v>
      </c>
      <c r="D4" t="s">
        <v>217</v>
      </c>
      <c r="E4" t="s">
        <v>139</v>
      </c>
      <c r="F4" t="s">
        <v>218</v>
      </c>
    </row>
    <row r="5" spans="1:6">
      <c r="A5" t="s">
        <v>113</v>
      </c>
      <c r="B5" t="s">
        <v>149</v>
      </c>
      <c r="C5" t="s">
        <v>219</v>
      </c>
      <c r="D5" t="s">
        <v>220</v>
      </c>
      <c r="E5" t="s">
        <v>67</v>
      </c>
      <c r="F5" t="s">
        <v>221</v>
      </c>
    </row>
    <row r="6" spans="1:6">
      <c r="A6" t="s">
        <v>113</v>
      </c>
      <c r="B6" t="s">
        <v>113</v>
      </c>
      <c r="C6" t="s">
        <v>222</v>
      </c>
      <c r="D6" t="s">
        <v>113</v>
      </c>
      <c r="E6" t="s">
        <v>105</v>
      </c>
      <c r="F6" t="s">
        <v>113</v>
      </c>
    </row>
    <row r="7" spans="1:6">
      <c r="A7" t="s">
        <v>113</v>
      </c>
      <c r="B7" t="s">
        <v>113</v>
      </c>
      <c r="C7" t="s">
        <v>113</v>
      </c>
      <c r="D7" t="s">
        <v>113</v>
      </c>
      <c r="E7" t="s">
        <v>146</v>
      </c>
      <c r="F7" t="s">
        <v>113</v>
      </c>
    </row>
    <row r="8" spans="1:6">
      <c r="A8" t="s">
        <v>113</v>
      </c>
      <c r="B8" t="s">
        <v>113</v>
      </c>
      <c r="C8" t="s">
        <v>113</v>
      </c>
      <c r="D8" t="s">
        <v>113</v>
      </c>
      <c r="E8" t="s">
        <v>86</v>
      </c>
      <c r="F8" t="s">
        <v>113</v>
      </c>
    </row>
    <row r="9" spans="1:6">
      <c r="A9" t="s">
        <v>113</v>
      </c>
      <c r="B9" t="s">
        <v>113</v>
      </c>
      <c r="C9" t="s">
        <v>113</v>
      </c>
      <c r="D9" t="s">
        <v>113</v>
      </c>
      <c r="E9" t="s">
        <v>165</v>
      </c>
      <c r="F9" t="s">
        <v>113</v>
      </c>
    </row>
    <row r="10" spans="1:6">
      <c r="A10" t="s">
        <v>113</v>
      </c>
      <c r="B10" t="s">
        <v>113</v>
      </c>
      <c r="C10" t="s">
        <v>113</v>
      </c>
      <c r="D10" t="s">
        <v>113</v>
      </c>
      <c r="E10" t="s">
        <v>205</v>
      </c>
      <c r="F10" t="s">
        <v>113</v>
      </c>
    </row>
    <row r="11" spans="1:6">
      <c r="A11" t="s">
        <v>113</v>
      </c>
      <c r="B11" t="s">
        <v>113</v>
      </c>
      <c r="C11" t="s">
        <v>113</v>
      </c>
      <c r="D11" t="s">
        <v>113</v>
      </c>
      <c r="E11" t="s">
        <v>206</v>
      </c>
      <c r="F11" t="s">
        <v>113</v>
      </c>
    </row>
    <row r="12" spans="1:6">
      <c r="A12" t="s">
        <v>113</v>
      </c>
      <c r="B12" t="s">
        <v>113</v>
      </c>
      <c r="C12" t="s">
        <v>113</v>
      </c>
      <c r="D12" t="s">
        <v>113</v>
      </c>
      <c r="E12" t="s">
        <v>54</v>
      </c>
      <c r="F12" t="s">
        <v>113</v>
      </c>
    </row>
    <row r="13" spans="1:6">
      <c r="A13" t="s">
        <v>113</v>
      </c>
      <c r="B13" t="s">
        <v>113</v>
      </c>
      <c r="C13" t="s">
        <v>113</v>
      </c>
      <c r="D13" t="s">
        <v>113</v>
      </c>
      <c r="E13" t="s">
        <v>207</v>
      </c>
      <c r="F13" t="s">
        <v>113</v>
      </c>
    </row>
    <row r="14" spans="1:6">
      <c r="A14" t="s">
        <v>113</v>
      </c>
      <c r="B14" t="s">
        <v>113</v>
      </c>
      <c r="C14" t="s">
        <v>113</v>
      </c>
      <c r="D14" t="s">
        <v>113</v>
      </c>
      <c r="E14" t="s">
        <v>208</v>
      </c>
      <c r="F14" t="s">
        <v>113</v>
      </c>
    </row>
    <row r="15" spans="1:6">
      <c r="A15" t="s">
        <v>113</v>
      </c>
      <c r="B15" t="s">
        <v>113</v>
      </c>
      <c r="C15" t="s">
        <v>113</v>
      </c>
      <c r="D15" t="s">
        <v>113</v>
      </c>
      <c r="E15" t="s">
        <v>209</v>
      </c>
      <c r="F15" t="s">
        <v>113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Bug记录表</vt:lpstr>
      <vt:lpstr>统计汇总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张越</cp:lastModifiedBy>
  <dcterms:created xsi:type="dcterms:W3CDTF">2026-07-10T07:22:04Z</dcterms:created>
  <dcterms:modified xsi:type="dcterms:W3CDTF">2026-07-10T09:27:26Z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C9F842CE00A246DDB7EACC5F807CC7B9_12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