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2388f54c7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汇总" sheetId="1" r:id="Rf14c7e14e178470a"/>
    <x:sheet xmlns:r="http://schemas.openxmlformats.org/officeDocument/2006/relationships" name="AI回复质量评测" sheetId="2" r:id="R339cf2d8012b4055"/>
    <x:sheet xmlns:r="http://schemas.openxmlformats.org/officeDocument/2006/relationships" name="评分标准" sheetId="3" r:id="Rff355e10812a4bd7"/>
    <x:sheet xmlns:r="http://schemas.openxmlformats.org/officeDocument/2006/relationships" name="数据字典" sheetId="4" r:id="R9e38f000dc30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ill>
        <x:patternFill>
          <x:bgColor rgb="FFD9EAD3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a0d939612b40cf" /><Relationship Type="http://schemas.openxmlformats.org/officeDocument/2006/relationships/theme" Target="/xl/theme/theme1.xml" Id="Rf84cfa3f893740ed" /><Relationship Type="http://schemas.openxmlformats.org/officeDocument/2006/relationships/sharedStrings" Target="/xl/sharedStrings.xml" Id="Rb55134f8e9d94a55" /><Relationship Type="http://schemas.openxmlformats.org/officeDocument/2006/relationships/worksheet" Target="/xl/worksheets/sheet1.xml" Id="Rf14c7e14e178470a" /><Relationship Type="http://schemas.openxmlformats.org/officeDocument/2006/relationships/worksheet" Target="/xl/worksheets/sheet2.xml" Id="R339cf2d8012b4055" /><Relationship Type="http://schemas.openxmlformats.org/officeDocument/2006/relationships/worksheet" Target="/xl/worksheets/sheet3.xml" Id="Rff355e10812a4bd7" /><Relationship Type="http://schemas.openxmlformats.org/officeDocument/2006/relationships/worksheet" Target="/xl/worksheets/sheet4.xml" Id="R9e38f000dc304d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f17ec4d0e94fd9" /><Relationship Type="http://schemas.openxmlformats.org/officeDocument/2006/relationships/chart" Target="/xl/drawings/charts/chart2.xml" Id="R24412a536c3d40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评分区间分布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'统计汇总'!$A$15:$A$18</c:f>
              <c:strCache>
                <c:ptCount val="0"/>
              </c:strCache>
            </c:strRef>
          </c:cat>
          <c:val>
            <c:numRef>
              <c:f>'统计汇总'!$B$15:$B$18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场景类型统计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'统计汇总'!$E$15:$E$18</c:f>
              <c:strCache>
                <c:ptCount val="0"/>
              </c:strCache>
            </c:strRef>
          </c:cat>
          <c:val>
            <c:numRef>
              <c:f>'统计汇总'!$F$15:$F$18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f17ec4d0e94fd9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412a536c3d40c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QualityTable" displayName="AIQualityTable" ref="A1:O21" headerRowCount="1">
  <x:tableColumns count="15">
    <x:tableColumn id="1" name="编号"/>
    <x:tableColumn id="2" name="评测场景"/>
    <x:tableColumn id="3" name="输入内容/测试任务"/>
    <x:tableColumn id="4" name="评测重点"/>
    <x:tableColumn id="5" name="相关性"/>
    <x:tableColumn id="6" name="完整性"/>
    <x:tableColumn id="7" name="角色一致性"/>
    <x:tableColumn id="8" name="可执行性"/>
    <x:tableColumn id="9" name="安全性"/>
    <x:tableColumn id="10" name="综合评分"/>
    <x:tableColumn id="11" name="结论"/>
    <x:tableColumn id="12" name="问题记录"/>
    <x:tableColumn id="13" name="优化建议"/>
    <x:tableColumn id="14" name="评测状态"/>
    <x:tableColumn id="15" name="评测日期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c77c05645f4d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a6d56fa70c417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5" max="5" width="20" hidden="0" customWidth="1"/>
    <x:col min="6" max="6" width="12" hidden="0" customWidth="1"/>
    <x:col min="7" max="7" width="14" hidden="0" customWidth="1"/>
  </x:cols>
  <x:sheetData>
    <x:row r="1" ht="34" customHeight="1">
      <x:c r="A1" s="52" t="str">
        <x:v>AI回复质量评测汇总</x:v>
      </x:c>
      <x:c r="B1" s="9" t="str"/>
      <x:c r="C1" s="9" t="str"/>
      <x:c r="D1" s="9" t="str"/>
      <x:c r="E1" s="9" t="str"/>
      <x:c r="F1" s="9" t="str"/>
      <x:c r="G1" s="9" t="str"/>
      <x:c r="H1" s="9" t="str"/>
    </x:row>
    <x:row r="2">
      <x:c r="A2" s="9" t="str">
        <x:v>项目名称</x:v>
      </x:c>
      <x:c r="B2" s="9" t="str">
        <x:v>AI Agent 多角色圆桌对谈与剧本生成系统</x:v>
      </x:c>
      <x:c r="C2" s="9" t="str"/>
      <x:c r="D2" s="9" t="str">
        <x:v>评测日期</x:v>
      </x:c>
      <x:c r="E2" s="9" t="str">
        <x:v>2026-07-10</x:v>
      </x:c>
      <x:c r="F2" s="9" t="str"/>
      <x:c r="G2" s="9" t="str"/>
      <x:c r="H2" s="9" t="str"/>
    </x:row>
    <x:row r="3">
      <x:c r="A3" s="9" t="str"/>
      <x:c r="B3" s="9" t="str"/>
      <x:c r="C3" s="9" t="str"/>
      <x:c r="D3" s="9" t="str"/>
      <x:c r="E3" s="9" t="str"/>
      <x:c r="F3" s="9" t="str"/>
      <x:c r="G3" s="9" t="str"/>
      <x:c r="H3" s="9" t="str"/>
    </x:row>
    <x:row r="4">
      <x:c r="A4" s="25" t="str">
        <x:v>核心指标</x:v>
      </x:c>
      <x:c r="B4" s="25" t="str">
        <x:v>数值</x:v>
      </x:c>
      <x:c r="C4" s="25" t="str">
        <x:v>说明</x:v>
      </x:c>
      <x:c r="D4" s="9" t="str"/>
      <x:c r="E4" s="25" t="str">
        <x:v>评分维度均值</x:v>
      </x:c>
      <x:c r="F4" s="25" t="str">
        <x:v>均值</x:v>
      </x:c>
      <x:c r="G4" s="25" t="str">
        <x:v>评价</x:v>
      </x:c>
      <x:c r="H4" s="9" t="str"/>
    </x:row>
    <x:row r="5">
      <x:c r="A5" s="9" t="str">
        <x:v>评测场景总数</x:v>
      </x:c>
      <x:c r="B5" s="32" t="n">
        <x:f>COUNTA('AI回复质量评测'!A2:A21)</x:f>
        <x:v>20</x:v>
      </x:c>
      <x:c r="C5" s="9" t="str">
        <x:v>已记录的AI输出场景数量</x:v>
      </x:c>
      <x:c r="D5" s="9" t="str"/>
      <x:c r="E5" s="9" t="str">
        <x:v>相关性</x:v>
      </x:c>
      <x:c r="F5" s="32" t="n">
        <x:f>ROUND(AVERAGE('AI回复质量评测'!E2:E21),1)</x:f>
        <x:v>4.4</x:v>
      </x:c>
      <x:c r="G5" s="9" t="str">
        <x:f>IF(F5&gt;=4,"良好","需优化")</x:f>
        <x:v>良好</x:v>
      </x:c>
      <x:c r="H5" s="9" t="str"/>
    </x:row>
    <x:row r="6">
      <x:c r="A6" s="9" t="str">
        <x:v>通过场景数</x:v>
      </x:c>
      <x:c r="B6" s="32" t="n">
        <x:f>COUNTIF('AI回复质量评测'!N2:N21,"通过")</x:f>
        <x:v>20</x:v>
      </x:c>
      <x:c r="C6" s="9" t="str">
        <x:v>评测状态为通过的场景数量</x:v>
      </x:c>
      <x:c r="D6" s="9" t="str"/>
      <x:c r="E6" s="9" t="str">
        <x:v>完整性</x:v>
      </x:c>
      <x:c r="F6" s="32" t="n">
        <x:f>ROUND(AVERAGE('AI回复质量评测'!F2:F21),1)</x:f>
        <x:v>4.1</x:v>
      </x:c>
      <x:c r="G6" s="9" t="str">
        <x:f>IF(F6&gt;=4,"良好","需优化")</x:f>
        <x:v>良好</x:v>
      </x:c>
      <x:c r="H6" s="9" t="str"/>
    </x:row>
    <x:row r="7">
      <x:c r="A7" s="9" t="str">
        <x:v>需优化场景数</x:v>
      </x:c>
      <x:c r="B7" s="32" t="n">
        <x:f>COUNTIF('AI回复质量评测'!N2:N21,"需优化")</x:f>
        <x:v>0</x:v>
      </x:c>
      <x:c r="C7" s="9" t="str">
        <x:v>需要继续优化的场景数量</x:v>
      </x:c>
      <x:c r="D7" s="9" t="str"/>
      <x:c r="E7" s="9" t="str">
        <x:v>角色一致性</x:v>
      </x:c>
      <x:c r="F7" s="32" t="n">
        <x:f>ROUND(AVERAGE('AI回复质量评测'!G2:G21),1)</x:f>
        <x:v>4.3</x:v>
      </x:c>
      <x:c r="G7" s="9" t="str">
        <x:f>IF(F7&gt;=4,"良好","需优化")</x:f>
        <x:v>良好</x:v>
      </x:c>
      <x:c r="H7" s="9" t="str"/>
    </x:row>
    <x:row r="8">
      <x:c r="A8" s="9" t="str">
        <x:v>综合平均分</x:v>
      </x:c>
      <x:c r="B8" s="32" t="n">
        <x:f>ROUND(AVERAGE('AI回复质量评测'!J2:J21),1)</x:f>
        <x:v>4.4</x:v>
      </x:c>
      <x:c r="C8" s="9" t="str">
        <x:v>全部场景综合评分均值</x:v>
      </x:c>
      <x:c r="D8" s="9" t="str"/>
      <x:c r="E8" s="9" t="str">
        <x:v>可执行性</x:v>
      </x:c>
      <x:c r="F8" s="32" t="n">
        <x:f>ROUND(AVERAGE('AI回复质量评测'!H2:H21),1)</x:f>
        <x:v>4.2</x:v>
      </x:c>
      <x:c r="G8" s="9" t="str">
        <x:f>IF(F8&gt;=4,"良好","需优化")</x:f>
        <x:v>良好</x:v>
      </x:c>
      <x:c r="H8" s="9" t="str"/>
    </x:row>
    <x:row r="9">
      <x:c r="A9" s="9" t="str">
        <x:v>最高分</x:v>
      </x:c>
      <x:c r="B9" s="32" t="n">
        <x:f>MAX('AI回复质量评测'!J2:J21)</x:f>
        <x:v>4.8</x:v>
      </x:c>
      <x:c r="C9" s="9" t="str">
        <x:v>最高综合评分</x:v>
      </x:c>
      <x:c r="D9" s="9" t="str"/>
      <x:c r="E9" s="9" t="str">
        <x:v>安全性</x:v>
      </x:c>
      <x:c r="F9" s="32" t="n">
        <x:f>ROUND(AVERAGE('AI回复质量评测'!I2:I21),1)</x:f>
        <x:v>5</x:v>
      </x:c>
      <x:c r="G9" s="9" t="str">
        <x:f>IF(F9&gt;=4,"良好","需优化")</x:f>
        <x:v>良好</x:v>
      </x:c>
      <x:c r="H9" s="9" t="str"/>
    </x:row>
    <x:row r="10">
      <x:c r="A10" s="9" t="str">
        <x:v>最低分</x:v>
      </x:c>
      <x:c r="B10" s="32" t="n">
        <x:f>MIN('AI回复质量评测'!J2:J21)</x:f>
        <x:v>4.2</x:v>
      </x:c>
      <x:c r="C10" s="9" t="str">
        <x:v>最低综合评分</x:v>
      </x:c>
      <x:c r="D10" s="9" t="str"/>
      <x:c r="E10" s="9" t="str"/>
      <x:c r="F10" s="9" t="str"/>
      <x:c r="G10" s="9" t="str"/>
      <x:c r="H10" s="9" t="str"/>
    </x:row>
    <x:row r="11">
      <x:c r="A11" s="9" t="str"/>
      <x:c r="B11" s="9" t="str"/>
      <x:c r="C11" s="9" t="str"/>
      <x:c r="D11" s="9" t="str"/>
      <x:c r="E11" s="9" t="str"/>
      <x:c r="F11" s="9" t="str"/>
      <x:c r="G11" s="9" t="str"/>
      <x:c r="H11" s="9" t="str"/>
    </x:row>
    <x:row r="12">
      <x:c r="A12" s="9" t="str">
        <x:v>评测结论</x:v>
      </x:c>
      <x:c r="B12" s="9" t="str">
        <x:v>系统AI回复整体质量良好，多Agent圆桌、Tool Calling、RAG问答和剧本生成均可支撑面试展示。</x:v>
      </x:c>
      <x:c r="C12" s="9" t="str"/>
      <x:c r="D12" s="9" t="str"/>
      <x:c r="E12" s="9" t="str"/>
      <x:c r="F12" s="9" t="str"/>
      <x:c r="G12" s="9" t="str"/>
      <x:c r="H12" s="9" t="str"/>
    </x:row>
    <x:row r="13">
      <x:c r="A13" s="9" t="str"/>
      <x:c r="B13" s="9" t="str"/>
      <x:c r="C13" s="9" t="str"/>
      <x:c r="D13" s="9" t="str"/>
      <x:c r="E13" s="9" t="str"/>
      <x:c r="F13" s="9" t="str"/>
      <x:c r="G13" s="9" t="str"/>
      <x:c r="H13" s="9" t="str"/>
    </x:row>
    <x:row r="14">
      <x:c r="A14" s="53" t="str">
        <x:v>评分区间统计</x:v>
      </x:c>
      <x:c r="B14" s="53" t="str">
        <x:v>数量</x:v>
      </x:c>
      <x:c r="C14" s="9" t="str"/>
      <x:c r="D14" s="9" t="str"/>
      <x:c r="E14" s="53" t="str">
        <x:v>场景类型统计</x:v>
      </x:c>
      <x:c r="F14" s="53" t="str">
        <x:v>数量</x:v>
      </x:c>
      <x:c r="G14" s="9" t="str"/>
      <x:c r="H14" s="9" t="str"/>
    </x:row>
    <x:row r="15">
      <x:c r="A15" s="9" t="str">
        <x:v>&gt;=4.5</x:v>
      </x:c>
      <x:c r="B15" s="9" t="n">
        <x:f>COUNTIFS('AI回复质量评测'!J2:J21,"&gt;=4.5")</x:f>
        <x:v>6</x:v>
      </x:c>
      <x:c r="C15" s="9" t="str"/>
      <x:c r="D15" s="9" t="str"/>
      <x:c r="E15" s="9" t="str">
        <x:v>直接生成方案</x:v>
      </x:c>
      <x:c r="F15" s="9" t="n">
        <x:f>COUNTIF('AI回复质量评测'!B2:B100,"直接生成方案")</x:f>
        <x:v>1</x:v>
      </x:c>
      <x:c r="G15" s="9" t="str"/>
      <x:c r="H15" s="9" t="str"/>
    </x:row>
    <x:row r="16">
      <x:c r="A16" s="9" t="str">
        <x:v>4.0-4.4</x:v>
      </x:c>
      <x:c r="B16" s="9" t="n">
        <x:f>COUNTIFS('AI回复质量评测'!J2:J21,"&gt;=4",'AI回复质量评测'!J2:J21,"&lt;4.5")</x:f>
        <x:v>14</x:v>
      </x:c>
      <x:c r="C16" s="9" t="str"/>
      <x:c r="D16" s="9" t="str"/>
      <x:c r="E16" s="9" t="str">
        <x:v>Tool Calling内容分析</x:v>
      </x:c>
      <x:c r="F16" s="9" t="n">
        <x:f>COUNTIF('AI回复质量评测'!B2:B100,"Tool Calling内容分析")</x:f>
        <x:v>2</x:v>
      </x:c>
      <x:c r="G16" s="9" t="str"/>
      <x:c r="H16" s="9" t="str"/>
    </x:row>
    <x:row r="17">
      <x:c r="A17" s="9" t="str">
        <x:v>3.0-3.9</x:v>
      </x:c>
      <x:c r="B17" s="9" t="n">
        <x:f>COUNTIFS('AI回复质量评测'!J2:J21,"&gt;=3",'AI回复质量评测'!J2:J21,"&lt;4")</x:f>
        <x:v>0</x:v>
      </x:c>
      <x:c r="C17" s="9" t="str"/>
      <x:c r="D17" s="9" t="str"/>
      <x:c r="E17" s="9" t="str">
        <x:v>多Agent圆桌讨论</x:v>
      </x:c>
      <x:c r="F17" s="9" t="n">
        <x:f>COUNTIF('AI回复质量评测'!B2:B100,"多Agent圆桌讨论")</x:f>
        <x:v>2</x:v>
      </x:c>
      <x:c r="G17" s="9" t="str"/>
      <x:c r="H17" s="9" t="str"/>
    </x:row>
    <x:row r="18">
      <x:c r="A18" s="9" t="str">
        <x:v>&lt;3.0</x:v>
      </x:c>
      <x:c r="B18" s="9" t="n">
        <x:f>COUNTIFS('AI回复质量评测'!J2:J21,"&lt;3",'AI回复质量评测'!A2:A21,"&lt;&gt;")</x:f>
        <x:v>0</x:v>
      </x:c>
      <x:c r="C18" s="9" t="str"/>
      <x:c r="D18" s="9" t="str"/>
      <x:c r="E18" s="9" t="str">
        <x:v>RAG知识库问答</x:v>
      </x:c>
      <x:c r="F18" s="9" t="n">
        <x:f>COUNTIF('AI回复质量评测'!B2:B100,"RAG知识库问答")</x:f>
        <x:v>2</x:v>
      </x:c>
      <x:c r="G18" s="9" t="str"/>
      <x:c r="H18" s="9" t="str"/>
    </x:row>
  </x:sheetData>
  <x:mergeCells>
    <x:mergeCell ref="A1:H1"/>
    <x:mergeCell ref="B12:H12"/>
  </x:mergeCells>
  <x:conditionalFormatting sqref="A5:C10">
    <x:cfRule type="expression" dxfId="3" priority="1">
      <x:formula>$B5&gt;=4</x:formula>
    </x:cfRule>
  </x:conditionalFormatting>
  <x:conditionalFormatting sqref="F5:F9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70c77c05645f4d18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2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32" hidden="0" customWidth="1"/>
    <x:col min="12" max="12" width="32" hidden="0" customWidth="1"/>
    <x:col min="13" max="13" width="32" hidden="0" customWidth="1"/>
    <x:col min="14" max="14" width="14" hidden="0" customWidth="1"/>
    <x:col min="15" max="15" width="14" hidden="0" customWidth="1"/>
  </x:cols>
  <x:sheetData>
    <x:row r="1">
      <x:c r="A1" s="29" t="str">
        <x:v>编号</x:v>
      </x:c>
      <x:c r="B1" s="29" t="str">
        <x:v>评测场景</x:v>
      </x:c>
      <x:c r="C1" s="29" t="str">
        <x:v>输入内容/测试任务</x:v>
      </x:c>
      <x:c r="D1" s="29" t="str">
        <x:v>评测重点</x:v>
      </x:c>
      <x:c r="E1" s="29" t="str">
        <x:v>相关性</x:v>
      </x:c>
      <x:c r="F1" s="29" t="str">
        <x:v>完整性</x:v>
      </x:c>
      <x:c r="G1" s="29" t="str">
        <x:v>角色一致性</x:v>
      </x:c>
      <x:c r="H1" s="29" t="str">
        <x:v>可执行性</x:v>
      </x:c>
      <x:c r="I1" s="29" t="str">
        <x:v>安全性</x:v>
      </x:c>
      <x:c r="J1" s="29" t="str">
        <x:v>综合评分</x:v>
      </x:c>
      <x:c r="K1" s="29" t="str">
        <x:v>结论</x:v>
      </x:c>
      <x:c r="L1" s="29" t="str">
        <x:v>问题记录</x:v>
      </x:c>
      <x:c r="M1" s="29" t="str">
        <x:v>优化建议</x:v>
      </x:c>
      <x:c r="N1" s="29" t="str">
        <x:v>评测状态</x:v>
      </x:c>
      <x:c r="O1" s="29" t="str">
        <x:v>评测日期</x:v>
      </x:c>
    </x:row>
    <x:row r="2">
      <x:c r="A2" s="9" t="str">
        <x:v>AI-001</x:v>
      </x:c>
      <x:c r="B2" s="9" t="str">
        <x:v>直接生成方案</x:v>
      </x:c>
      <x:c r="C2" s="9" t="str">
        <x:v>女主被男主误会后离开，男主后来发现真相追悔莫及，希望设计15集漫剧方案。</x:v>
      </x:c>
      <x:c r="D2" s="9" t="str">
        <x:v>是否生成完整剧本方案</x:v>
      </x:c>
      <x:c r="E2" s="32" t="n">
        <x:v>5</x:v>
      </x:c>
      <x:c r="F2" s="32" t="n">
        <x:v>4</x:v>
      </x:c>
      <x:c r="G2" s="32" t="n">
        <x:v>4</x:v>
      </x:c>
      <x:c r="H2" s="32" t="n">
        <x:v>4</x:v>
      </x:c>
      <x:c r="I2" s="32" t="n">
        <x:v>5</x:v>
      </x:c>
      <x:c r="J2" s="32" t="n">
        <x:f>ROUND(AVERAGE(E2:I2),1)</x:f>
        <x:v>4.4</x:v>
      </x:c>
      <x:c r="K2" s="9" t="str">
        <x:v>生成内容结构较完整，可作为短剧方案参考。</x:v>
      </x:c>
      <x:c r="L2" s="9" t="str">
        <x:v>部分表达仍需人工润色。</x:v>
      </x:c>
      <x:c r="M2" s="9" t="str">
        <x:v>继续优化分集大纲细节。</x:v>
      </x:c>
      <x:c r="N2" s="9" t="str">
        <x:v>通过</x:v>
      </x:c>
      <x:c r="O2" s="36" t="str">
        <x:v>2026-07-10</x:v>
      </x:c>
    </x:row>
    <x:row r="3">
      <x:c r="A3" s="9" t="str">
        <x:v>AI-002</x:v>
      </x:c>
      <x:c r="B3" s="9" t="str">
        <x:v>Tool Calling内容分析</x:v>
      </x:c>
      <x:c r="C3" s="9" t="str">
        <x:v>追妻火葬场、误会、离开、追悔、真相反转。</x:v>
      </x:c>
      <x:c r="D3" s="9" t="str">
        <x:v>是否识别高冲突和虐恋反转</x:v>
      </x:c>
      <x:c r="E3" s="32" t="n">
        <x:v>5</x:v>
      </x:c>
      <x:c r="F3" s="32" t="n">
        <x:v>4</x:v>
      </x:c>
      <x:c r="G3" s="32" t="n">
        <x:v>4</x:v>
      </x:c>
      <x:c r="H3" s="32" t="n">
        <x:v>5</x:v>
      </x:c>
      <x:c r="I3" s="32" t="n">
        <x:v>5</x:v>
      </x:c>
      <x:c r="J3" s="32" t="n">
        <x:f>ROUND(AVERAGE(E3:I3),1)</x:f>
        <x:v>4.6</x:v>
      </x:c>
      <x:c r="K3" s="9" t="str">
        <x:v>能正确识别冲突强度、情绪基调和推荐标签。</x:v>
      </x:c>
      <x:c r="L3" s="9" t="str">
        <x:v>对复杂题材标签仍需补充。</x:v>
      </x:c>
      <x:c r="M3" s="9" t="str">
        <x:v>扩展关键词规则和标签库。</x:v>
      </x:c>
      <x:c r="N3" s="9" t="str">
        <x:v>通过</x:v>
      </x:c>
      <x:c r="O3" s="36" t="str">
        <x:v>2026-07-10</x:v>
      </x:c>
    </x:row>
    <x:row r="4">
      <x:c r="A4" s="9" t="str">
        <x:v>AI-003</x:v>
      </x:c>
      <x:c r="B4" s="9" t="str">
        <x:v>多Agent圆桌讨论</x:v>
      </x:c>
      <x:c r="C4" s="9" t="str">
        <x:v>选择 INTJ、INFP、ENTP、ESTJ 讨论追妻火葬场题材。</x:v>
      </x:c>
      <x:c r="D4" s="9" t="str">
        <x:v>各Agent是否从不同角度发言</x:v>
      </x:c>
      <x:c r="E4" s="32" t="n">
        <x:v>5</x:v>
      </x:c>
      <x:c r="F4" s="32" t="n">
        <x:v>4</x:v>
      </x:c>
      <x:c r="G4" s="32" t="n">
        <x:v>4</x:v>
      </x:c>
      <x:c r="H4" s="32" t="n">
        <x:v>4</x:v>
      </x:c>
      <x:c r="I4" s="32" t="n">
        <x:v>5</x:v>
      </x:c>
      <x:c r="J4" s="32" t="n">
        <x:f>ROUND(AVERAGE(E4:I4),1)</x:f>
        <x:v>4.4</x:v>
      </x:c>
      <x:c r="K4" s="9" t="str">
        <x:v>Agent观点有区分，能体现多角色讨论。</x:v>
      </x:c>
      <x:c r="L4" s="9" t="str">
        <x:v>部分表达有轻微重复。</x:v>
      </x:c>
      <x:c r="M4" s="9" t="str">
        <x:v>优化Prompt，强调不同职责。</x:v>
      </x:c>
      <x:c r="N4" s="9" t="str">
        <x:v>通过</x:v>
      </x:c>
      <x:c r="O4" s="36" t="str">
        <x:v>2026-07-10</x:v>
      </x:c>
    </x:row>
    <x:row r="5">
      <x:c r="A5" s="9" t="str">
        <x:v>AI-004</x:v>
      </x:c>
      <x:c r="B5" s="9" t="str">
        <x:v>Agent角色发言</x:v>
      </x:c>
      <x:c r="C5" s="9" t="str">
        <x:v>INTJ 冷静规划师参与剧情结构讨论。</x:v>
      </x:c>
      <x:c r="D5" s="9" t="str">
        <x:v>是否体现理性规划、结构拆解特点</x:v>
      </x:c>
      <x:c r="E5" s="32" t="n">
        <x:v>4</x:v>
      </x:c>
      <x:c r="F5" s="32" t="n">
        <x:v>4</x:v>
      </x:c>
      <x:c r="G5" s="32" t="n">
        <x:v>5</x:v>
      </x:c>
      <x:c r="H5" s="32" t="n">
        <x:v>4</x:v>
      </x:c>
      <x:c r="I5" s="32" t="n">
        <x:v>5</x:v>
      </x:c>
      <x:c r="J5" s="32" t="n">
        <x:f>ROUND(AVERAGE(E5:I5),1)</x:f>
        <x:v>4.4</x:v>
      </x:c>
      <x:c r="K5" s="9" t="str">
        <x:v>回复偏结构化，符合冷静规划师定位。</x:v>
      </x:c>
      <x:c r="L5" s="9" t="str">
        <x:v>建议部分略抽象。</x:v>
      </x:c>
      <x:c r="M5" s="9" t="str">
        <x:v>要求输出更明确的结构节点。</x:v>
      </x:c>
      <x:c r="N5" s="9" t="str">
        <x:v>通过</x:v>
      </x:c>
      <x:c r="O5" s="36" t="str">
        <x:v>2026-07-10</x:v>
      </x:c>
    </x:row>
    <x:row r="6">
      <x:c r="A6" s="9" t="str">
        <x:v>AI-005</x:v>
      </x:c>
      <x:c r="B6" s="9" t="str">
        <x:v>Agent角色发言</x:v>
      </x:c>
      <x:c r="C6" s="9" t="str">
        <x:v>INFP 温柔共情者参与人物情绪讨论。</x:v>
      </x:c>
      <x:c r="D6" s="9" t="str">
        <x:v>是否体现共情和人物内心分析</x:v>
      </x:c>
      <x:c r="E6" s="32" t="n">
        <x:v>5</x:v>
      </x:c>
      <x:c r="F6" s="32" t="n">
        <x:v>4</x:v>
      </x:c>
      <x:c r="G6" s="32" t="n">
        <x:v>5</x:v>
      </x:c>
      <x:c r="H6" s="32" t="n">
        <x:v>4</x:v>
      </x:c>
      <x:c r="I6" s="32" t="n">
        <x:v>5</x:v>
      </x:c>
      <x:c r="J6" s="32" t="n">
        <x:f>ROUND(AVERAGE(E6:I6),1)</x:f>
        <x:v>4.6</x:v>
      </x:c>
      <x:c r="K6" s="9" t="str">
        <x:v>能关注女主受伤、信任崩塌和情绪合理性。</x:v>
      </x:c>
      <x:c r="L6" s="9" t="str">
        <x:v>落地剧情建议偏少。</x:v>
      </x:c>
      <x:c r="M6" s="9" t="str">
        <x:v>增加情绪场景转化要求。</x:v>
      </x:c>
      <x:c r="N6" s="9" t="str">
        <x:v>通过</x:v>
      </x:c>
      <x:c r="O6" s="36" t="str">
        <x:v>2026-07-10</x:v>
      </x:c>
    </x:row>
    <x:row r="7">
      <x:c r="A7" s="9" t="str">
        <x:v>AI-006</x:v>
      </x:c>
      <x:c r="B7" s="9" t="str">
        <x:v>Agent角色发言</x:v>
      </x:c>
      <x:c r="C7" s="9" t="str">
        <x:v>ENTP 灵感辩手参与反转创意讨论。</x:v>
      </x:c>
      <x:c r="D7" s="9" t="str">
        <x:v>是否提供新角度和反转设计</x:v>
      </x:c>
      <x:c r="E7" s="32" t="n">
        <x:v>4</x:v>
      </x:c>
      <x:c r="F7" s="32" t="n">
        <x:v>4</x:v>
      </x:c>
      <x:c r="G7" s="32" t="n">
        <x:v>5</x:v>
      </x:c>
      <x:c r="H7" s="32" t="n">
        <x:v>4</x:v>
      </x:c>
      <x:c r="I7" s="32" t="n">
        <x:v>5</x:v>
      </x:c>
      <x:c r="J7" s="32" t="n">
        <x:f>ROUND(AVERAGE(E7:I7),1)</x:f>
        <x:v>4.4</x:v>
      </x:c>
      <x:c r="K7" s="9" t="str">
        <x:v>能提出误会反转、证据伪造等创意点。</x:v>
      </x:c>
      <x:c r="L7" s="9" t="str">
        <x:v>部分创意需要筛选。</x:v>
      </x:c>
      <x:c r="M7" s="9" t="str">
        <x:v>让总结Agent筛选可执行创意。</x:v>
      </x:c>
      <x:c r="N7" s="9" t="str">
        <x:v>通过</x:v>
      </x:c>
      <x:c r="O7" s="36" t="str">
        <x:v>2026-07-10</x:v>
      </x:c>
    </x:row>
    <x:row r="8">
      <x:c r="A8" s="9" t="str">
        <x:v>AI-007</x:v>
      </x:c>
      <x:c r="B8" s="9" t="str">
        <x:v>Agent角色发言</x:v>
      </x:c>
      <x:c r="C8" s="9" t="str">
        <x:v>ESTJ 执行管理者参与落地执行讨论。</x:v>
      </x:c>
      <x:c r="D8" s="9" t="str">
        <x:v>是否提供分集和执行建议</x:v>
      </x:c>
      <x:c r="E8" s="32" t="n">
        <x:v>4</x:v>
      </x:c>
      <x:c r="F8" s="32" t="n">
        <x:v>4</x:v>
      </x:c>
      <x:c r="G8" s="32" t="n">
        <x:v>5</x:v>
      </x:c>
      <x:c r="H8" s="32" t="n">
        <x:v>5</x:v>
      </x:c>
      <x:c r="I8" s="32" t="n">
        <x:v>5</x:v>
      </x:c>
      <x:c r="J8" s="32" t="n">
        <x:f>ROUND(AVERAGE(E8:I8),1)</x:f>
        <x:v>4.6</x:v>
      </x:c>
      <x:c r="K8" s="9" t="str">
        <x:v>能给出较清晰的阶段拆分和执行方向。</x:v>
      </x:c>
      <x:c r="L8" s="9" t="str">
        <x:v>细节分集仍可更具体。</x:v>
      </x:c>
      <x:c r="M8" s="9" t="str">
        <x:v>要求输出集数和关键钩子。</x:v>
      </x:c>
      <x:c r="N8" s="9" t="str">
        <x:v>通过</x:v>
      </x:c>
      <x:c r="O8" s="36" t="str">
        <x:v>2026-07-10</x:v>
      </x:c>
    </x:row>
    <x:row r="9">
      <x:c r="A9" s="9" t="str">
        <x:v>AI-008</x:v>
      </x:c>
      <x:c r="B9" s="9" t="str">
        <x:v>圆桌总结生成</x:v>
      </x:c>
      <x:c r="C9" s="9" t="str">
        <x:v>多Agent发言后生成综合总结。</x:v>
      </x:c>
      <x:c r="D9" s="9" t="str">
        <x:v>是否覆盖主要Agent观点</x:v>
      </x:c>
      <x:c r="E9" s="32" t="n">
        <x:v>4</x:v>
      </x:c>
      <x:c r="F9" s="32" t="n">
        <x:v>4</x:v>
      </x:c>
      <x:c r="G9" s="32" t="n">
        <x:v>4</x:v>
      </x:c>
      <x:c r="H9" s="32" t="n">
        <x:v>4</x:v>
      </x:c>
      <x:c r="I9" s="32" t="n">
        <x:v>5</x:v>
      </x:c>
      <x:c r="J9" s="32" t="n">
        <x:f>ROUND(AVERAGE(E9:I9),1)</x:f>
        <x:v>4.2</x:v>
      </x:c>
      <x:c r="K9" s="9" t="str">
        <x:v>能提炼核心共识，但仍可进一步结构化。</x:v>
      </x:c>
      <x:c r="L9" s="9" t="str">
        <x:v>总结有时偏概括。</x:v>
      </x:c>
      <x:c r="M9" s="9" t="str">
        <x:v>增加共识、分歧、采纳、风险结构。</x:v>
      </x:c>
      <x:c r="N9" s="9" t="str">
        <x:v>通过</x:v>
      </x:c>
      <x:c r="O9" s="36" t="str">
        <x:v>2026-07-10</x:v>
      </x:c>
    </x:row>
    <x:row r="10">
      <x:c r="A10" s="9" t="str">
        <x:v>AI-009</x:v>
      </x:c>
      <x:c r="B10" s="9" t="str">
        <x:v>圆桌总结带入生成</x:v>
      </x:c>
      <x:c r="C10" s="9" t="str">
        <x:v>基于圆桌总结生成最终剧本方案。</x:v>
      </x:c>
      <x:c r="D10" s="9" t="str">
        <x:v>是否体现Agent观点采纳情况</x:v>
      </x:c>
      <x:c r="E10" s="32" t="n">
        <x:v>5</x:v>
      </x:c>
      <x:c r="F10" s="32" t="n">
        <x:v>4</x:v>
      </x:c>
      <x:c r="G10" s="32" t="n">
        <x:v>4</x:v>
      </x:c>
      <x:c r="H10" s="32" t="n">
        <x:v>5</x:v>
      </x:c>
      <x:c r="I10" s="32" t="n">
        <x:v>5</x:v>
      </x:c>
      <x:c r="J10" s="32" t="n">
        <x:f>ROUND(AVERAGE(E10:I10),1)</x:f>
        <x:v>4.6</x:v>
      </x:c>
      <x:c r="K10" s="9" t="str">
        <x:v>与直接生成相比，能体现创作讨论过程。</x:v>
      </x:c>
      <x:c r="L10" s="9" t="str">
        <x:v>部分采纳说明仍可更清楚。</x:v>
      </x:c>
      <x:c r="M10" s="9" t="str">
        <x:v>在Prompt中明确要求写观点来源。</x:v>
      </x:c>
      <x:c r="N10" s="9" t="str">
        <x:v>通过</x:v>
      </x:c>
      <x:c r="O10" s="36" t="str">
        <x:v>2026-07-10</x:v>
      </x:c>
    </x:row>
    <x:row r="11">
      <x:c r="A11" s="9" t="str">
        <x:v>AI-010</x:v>
      </x:c>
      <x:c r="B11" s="9" t="str">
        <x:v>RAG知识库问答</x:v>
      </x:c>
      <x:c r="C11" s="9" t="str">
        <x:v>追妻火葬场题材怎么设计强冲突开场？</x:v>
      </x:c>
      <x:c r="D11" s="9" t="str">
        <x:v>是否结合知识库回答</x:v>
      </x:c>
      <x:c r="E11" s="32" t="n">
        <x:v>5</x:v>
      </x:c>
      <x:c r="F11" s="32" t="n">
        <x:v>4</x:v>
      </x:c>
      <x:c r="G11" s="32" t="n">
        <x:v>4</x:v>
      </x:c>
      <x:c r="H11" s="32" t="n">
        <x:v>4</x:v>
      </x:c>
      <x:c r="I11" s="32" t="n">
        <x:v>5</x:v>
      </x:c>
      <x:c r="J11" s="32" t="n">
        <x:f>ROUND(AVERAGE(E11:I11),1)</x:f>
        <x:v>4.4</x:v>
      </x:c>
      <x:c r="K11" s="9" t="str">
        <x:v>回答能围绕前3秒钩子、误会和冲突展开。</x:v>
      </x:c>
      <x:c r="L11" s="9" t="str">
        <x:v>知识库数量有限。</x:v>
      </x:c>
      <x:c r="M11" s="9" t="str">
        <x:v>补充更多内容生产知识片段。</x:v>
      </x:c>
      <x:c r="N11" s="9" t="str">
        <x:v>通过</x:v>
      </x:c>
      <x:c r="O11" s="36" t="str">
        <x:v>2026-07-10</x:v>
      </x:c>
    </x:row>
    <x:row r="12">
      <x:c r="A12" s="9" t="str">
        <x:v>AI-011</x:v>
      </x:c>
      <x:c r="B12" s="9" t="str">
        <x:v>RAG命中片段</x:v>
      </x:c>
      <x:c r="C12" s="9" t="str">
        <x:v>查询强冲突开场、误会反转、分集节奏。</x:v>
      </x:c>
      <x:c r="D12" s="9" t="str">
        <x:v>命中内容是否相关</x:v>
      </x:c>
      <x:c r="E12" s="32" t="n">
        <x:v>4</x:v>
      </x:c>
      <x:c r="F12" s="32" t="n">
        <x:v>4</x:v>
      </x:c>
      <x:c r="G12" s="32" t="n">
        <x:v>4</x:v>
      </x:c>
      <x:c r="H12" s="32" t="n">
        <x:v>4</x:v>
      </x:c>
      <x:c r="I12" s="32" t="n">
        <x:v>5</x:v>
      </x:c>
      <x:c r="J12" s="32" t="n">
        <x:f>ROUND(AVERAGE(E12:I12),1)</x:f>
        <x:v>4.2</x:v>
      </x:c>
      <x:c r="K12" s="9" t="str">
        <x:v>命中片段与问题相关，但知识库规模仍可扩充。</x:v>
      </x:c>
      <x:c r="L12" s="9" t="str">
        <x:v>检索粒度较粗。</x:v>
      </x:c>
      <x:c r="M12" s="9" t="str">
        <x:v>后续可引入向量检索。</x:v>
      </x:c>
      <x:c r="N12" s="9" t="str">
        <x:v>通过</x:v>
      </x:c>
      <x:c r="O12" s="36" t="str">
        <x:v>2026-07-10</x:v>
      </x:c>
    </x:row>
    <x:row r="13">
      <x:c r="A13" s="9" t="str">
        <x:v>AI-012</x:v>
      </x:c>
      <x:c r="B13" s="9" t="str">
        <x:v>自定义Agent发言</x:v>
      </x:c>
      <x:c r="C13" s="9" t="str">
        <x:v>毒舌女编剧参与圆桌。</x:v>
      </x:c>
      <x:c r="D13" s="9" t="str">
        <x:v>是否体现自定义角色Prompt</x:v>
      </x:c>
      <x:c r="E13" s="32" t="n">
        <x:v>4</x:v>
      </x:c>
      <x:c r="F13" s="32" t="n">
        <x:v>4</x:v>
      </x:c>
      <x:c r="G13" s="32" t="n">
        <x:v>5</x:v>
      </x:c>
      <x:c r="H13" s="32" t="n">
        <x:v>4</x:v>
      </x:c>
      <x:c r="I13" s="32" t="n">
        <x:v>5</x:v>
      </x:c>
      <x:c r="J13" s="32" t="n">
        <x:f>ROUND(AVERAGE(E13:I13),1)</x:f>
        <x:v>4.4</x:v>
      </x:c>
      <x:c r="K13" s="9" t="str">
        <x:v>能体现直接、偏冲突设计的表达风格。</x:v>
      </x:c>
      <x:c r="L13" s="9" t="str">
        <x:v>个别回复仍偏通用。</x:v>
      </x:c>
      <x:c r="M13" s="9" t="str">
        <x:v>增强自定义Prompt约束。</x:v>
      </x:c>
      <x:c r="N13" s="9" t="str">
        <x:v>通过</x:v>
      </x:c>
      <x:c r="O13" s="36" t="str">
        <x:v>2026-07-10</x:v>
      </x:c>
    </x:row>
    <x:row r="14">
      <x:c r="A14" s="9" t="str">
        <x:v>AI-013</x:v>
      </x:c>
      <x:c r="B14" s="9" t="str">
        <x:v>直接生成与圆桌生成对比</x:v>
      </x:c>
      <x:c r="C14" s="9" t="str">
        <x:v>同一题材分别使用两种方式生成。</x:v>
      </x:c>
      <x:c r="D14" s="9" t="str">
        <x:v>两种方式结果是否有区别</x:v>
      </x:c>
      <x:c r="E14" s="32" t="n">
        <x:v>4</x:v>
      </x:c>
      <x:c r="F14" s="32" t="n">
        <x:v>4</x:v>
      </x:c>
      <x:c r="G14" s="32" t="n">
        <x:v>4</x:v>
      </x:c>
      <x:c r="H14" s="32" t="n">
        <x:v>4</x:v>
      </x:c>
      <x:c r="I14" s="32" t="n">
        <x:v>5</x:v>
      </x:c>
      <x:c r="J14" s="32" t="n">
        <x:f>ROUND(AVERAGE(E14:I14),1)</x:f>
        <x:v>4.2</x:v>
      </x:c>
      <x:c r="K14" s="9" t="str">
        <x:v>圆桌生成结果增加了观点采纳和总结部分。</x:v>
      </x:c>
      <x:c r="L14" s="9" t="str">
        <x:v>差异仍可继续增强。</x:v>
      </x:c>
      <x:c r="M14" s="9" t="str">
        <x:v>进一步拆分两种Prompt模板。</x:v>
      </x:c>
      <x:c r="N14" s="9" t="str">
        <x:v>通过</x:v>
      </x:c>
      <x:c r="O14" s="36" t="str">
        <x:v>2026-07-10</x:v>
      </x:c>
    </x:row>
    <x:row r="15">
      <x:c r="A15" s="9" t="str">
        <x:v>AI-014</x:v>
      </x:c>
      <x:c r="B15" s="9" t="str">
        <x:v>标题标签生成</x:v>
      </x:c>
      <x:c r="C15" s="9" t="str">
        <x:v>生成短视频漫剧标题和标签。</x:v>
      </x:c>
      <x:c r="D15" s="9" t="str">
        <x:v>是否符合平台传播逻辑</x:v>
      </x:c>
      <x:c r="E15" s="32" t="n">
        <x:v>4</x:v>
      </x:c>
      <x:c r="F15" s="32" t="n">
        <x:v>4</x:v>
      </x:c>
      <x:c r="G15" s="32" t="n">
        <x:v>4</x:v>
      </x:c>
      <x:c r="H15" s="32" t="n">
        <x:v>4</x:v>
      </x:c>
      <x:c r="I15" s="32" t="n">
        <x:v>5</x:v>
      </x:c>
      <x:c r="J15" s="32" t="n">
        <x:f>ROUND(AVERAGE(E15:I15),1)</x:f>
        <x:v>4.2</x:v>
      </x:c>
      <x:c r="K15" s="9" t="str">
        <x:v>能给出标签和标题方向，仍可进一步优化爆款感。</x:v>
      </x:c>
      <x:c r="L15" s="9" t="str">
        <x:v>标题吸引力一般。</x:v>
      </x:c>
      <x:c r="M15" s="9" t="str">
        <x:v>补充平台常见标题模板。</x:v>
      </x:c>
      <x:c r="N15" s="9" t="str">
        <x:v>通过</x:v>
      </x:c>
      <x:c r="O15" s="36" t="str">
        <x:v>2026-07-10</x:v>
      </x:c>
    </x:row>
    <x:row r="16">
      <x:c r="A16" s="9" t="str">
        <x:v>AI-015</x:v>
      </x:c>
      <x:c r="B16" s="9" t="str">
        <x:v>安全性检查</x:v>
      </x:c>
      <x:c r="C16" s="9" t="str">
        <x:v>剧本方案生成和角色讨论。</x:v>
      </x:c>
      <x:c r="D16" s="9" t="str">
        <x:v>是否存在不当建议或绝对化表述</x:v>
      </x:c>
      <x:c r="E16" s="32" t="n">
        <x:v>5</x:v>
      </x:c>
      <x:c r="F16" s="32" t="n">
        <x:v>5</x:v>
      </x:c>
      <x:c r="G16" s="32" t="n">
        <x:v>5</x:v>
      </x:c>
      <x:c r="H16" s="32" t="n">
        <x:v>4</x:v>
      </x:c>
      <x:c r="I16" s="32" t="n">
        <x:v>5</x:v>
      </x:c>
      <x:c r="J16" s="32" t="n">
        <x:f>ROUND(AVERAGE(E16:I16),1)</x:f>
        <x:v>4.8</x:v>
      </x:c>
      <x:c r="K16" s="9" t="str">
        <x:v>未发现明显高风险内容。</x:v>
      </x:c>
      <x:c r="L16" s="9" t="str">
        <x:v>仍需持续检查边界。</x:v>
      </x:c>
      <x:c r="M16" s="9" t="str">
        <x:v>保留非诊断、非绝对化提示。</x:v>
      </x:c>
      <x:c r="N16" s="9" t="str">
        <x:v>通过</x:v>
      </x:c>
      <x:c r="O16" s="36" t="str">
        <x:v>2026-07-10</x:v>
      </x:c>
    </x:row>
    <x:row r="17">
      <x:c r="A17" s="9" t="str">
        <x:v>AI-016</x:v>
      </x:c>
      <x:c r="B17" s="9" t="str">
        <x:v>RAG知识库问答</x:v>
      </x:c>
      <x:c r="C17" s="9" t="str">
        <x:v>短视频漫剧标题怎么写更吸引人？</x:v>
      </x:c>
      <x:c r="D17" s="9" t="str">
        <x:v>是否给出标题优化思路</x:v>
      </x:c>
      <x:c r="E17" s="32" t="n">
        <x:v>4</x:v>
      </x:c>
      <x:c r="F17" s="32" t="n">
        <x:v>4</x:v>
      </x:c>
      <x:c r="G17" s="32" t="n">
        <x:v>4</x:v>
      </x:c>
      <x:c r="H17" s="32" t="n">
        <x:v>4</x:v>
      </x:c>
      <x:c r="I17" s="32" t="n">
        <x:v>5</x:v>
      </x:c>
      <x:c r="J17" s="32" t="n">
        <x:f>ROUND(AVERAGE(E17:I17),1)</x:f>
        <x:v>4.2</x:v>
      </x:c>
      <x:c r="K17" s="9" t="str">
        <x:v>能给出冲突、人物关系、情绪价值等标题思路。</x:v>
      </x:c>
      <x:c r="L17" s="9" t="str">
        <x:v>案例数量较少。</x:v>
      </x:c>
      <x:c r="M17" s="9" t="str">
        <x:v>补充标题案例库。</x:v>
      </x:c>
      <x:c r="N17" s="9" t="str">
        <x:v>通过</x:v>
      </x:c>
      <x:c r="O17" s="36" t="str">
        <x:v>2026-07-10</x:v>
      </x:c>
    </x:row>
    <x:row r="18">
      <x:c r="A18" s="9" t="str">
        <x:v>AI-017</x:v>
      </x:c>
      <x:c r="B18" s="9" t="str">
        <x:v>Tool Calling内容分析</x:v>
      </x:c>
      <x:c r="C18" s="9" t="str">
        <x:v>输入复仇逆袭题材内容。</x:v>
      </x:c>
      <x:c r="D18" s="9" t="str">
        <x:v>是否识别复仇、逆袭、爽感标签</x:v>
      </x:c>
      <x:c r="E18" s="32" t="n">
        <x:v>4</x:v>
      </x:c>
      <x:c r="F18" s="32" t="n">
        <x:v>4</x:v>
      </x:c>
      <x:c r="G18" s="32" t="n">
        <x:v>4</x:v>
      </x:c>
      <x:c r="H18" s="32" t="n">
        <x:v>4</x:v>
      </x:c>
      <x:c r="I18" s="32" t="n">
        <x:v>5</x:v>
      </x:c>
      <x:c r="J18" s="32" t="n">
        <x:f>ROUND(AVERAGE(E18:I18),1)</x:f>
        <x:v>4.2</x:v>
      </x:c>
      <x:c r="K18" s="9" t="str">
        <x:v>能识别复仇和逆袭方向。</x:v>
      </x:c>
      <x:c r="L18" s="9" t="str">
        <x:v>标签细分不足。</x:v>
      </x:c>
      <x:c r="M18" s="9" t="str">
        <x:v>扩展题材类型标签。</x:v>
      </x:c>
      <x:c r="N18" s="9" t="str">
        <x:v>通过</x:v>
      </x:c>
      <x:c r="O18" s="36" t="str">
        <x:v>2026-07-10</x:v>
      </x:c>
    </x:row>
    <x:row r="19">
      <x:c r="A19" s="9" t="str">
        <x:v>AI-018</x:v>
      </x:c>
      <x:c r="B19" s="9" t="str">
        <x:v>多Agent圆桌讨论</x:v>
      </x:c>
      <x:c r="C19" s="9" t="str">
        <x:v>使用自定义角色与MBTI角色混合讨论。</x:v>
      </x:c>
      <x:c r="D19" s="9" t="str">
        <x:v>是否能兼容预设和自定义Agent</x:v>
      </x:c>
      <x:c r="E19" s="32" t="n">
        <x:v>4</x:v>
      </x:c>
      <x:c r="F19" s="32" t="n">
        <x:v>4</x:v>
      </x:c>
      <x:c r="G19" s="32" t="n">
        <x:v>4</x:v>
      </x:c>
      <x:c r="H19" s="32" t="n">
        <x:v>4</x:v>
      </x:c>
      <x:c r="I19" s="32" t="n">
        <x:v>5</x:v>
      </x:c>
      <x:c r="J19" s="32" t="n">
        <x:f>ROUND(AVERAGE(E19:I19),1)</x:f>
        <x:v>4.2</x:v>
      </x:c>
      <x:c r="K19" s="9" t="str">
        <x:v>预设角色和自定义角色均可参与讨论。</x:v>
      </x:c>
      <x:c r="L19" s="9" t="str">
        <x:v>自定义角色影响力可增强。</x:v>
      </x:c>
      <x:c r="M19" s="9" t="str">
        <x:v>让总结中单独列出自定义角色观点。</x:v>
      </x:c>
      <x:c r="N19" s="9" t="str">
        <x:v>通过</x:v>
      </x:c>
      <x:c r="O19" s="36" t="str">
        <x:v>2026-07-10</x:v>
      </x:c>
    </x:row>
    <x:row r="20">
      <x:c r="A20" s="9" t="str">
        <x:v>AI-019</x:v>
      </x:c>
      <x:c r="B20" s="9" t="str">
        <x:v>圆桌总结生成</x:v>
      </x:c>
      <x:c r="C20" s="9" t="str">
        <x:v>Agent观点存在差异时生成总结。</x:v>
      </x:c>
      <x:c r="D20" s="9" t="str">
        <x:v>是否能提炼共识并保留风险点</x:v>
      </x:c>
      <x:c r="E20" s="32" t="n">
        <x:v>4</x:v>
      </x:c>
      <x:c r="F20" s="32" t="n">
        <x:v>4</x:v>
      </x:c>
      <x:c r="G20" s="32" t="n">
        <x:v>4</x:v>
      </x:c>
      <x:c r="H20" s="32" t="n">
        <x:v>4</x:v>
      </x:c>
      <x:c r="I20" s="32" t="n">
        <x:v>5</x:v>
      </x:c>
      <x:c r="J20" s="32" t="n">
        <x:f>ROUND(AVERAGE(E20:I20),1)</x:f>
        <x:v>4.2</x:v>
      </x:c>
      <x:c r="K20" s="9" t="str">
        <x:v>能概括共识，但风险点部分偏少。</x:v>
      </x:c>
      <x:c r="L20" s="9" t="str">
        <x:v>风险提醒不够突出。</x:v>
      </x:c>
      <x:c r="M20" s="9" t="str">
        <x:v>增加风险提醒输出项。</x:v>
      </x:c>
      <x:c r="N20" s="9" t="str">
        <x:v>通过</x:v>
      </x:c>
      <x:c r="O20" s="36" t="str">
        <x:v>2026-07-10</x:v>
      </x:c>
    </x:row>
    <x:row r="21">
      <x:c r="A21" s="9" t="str">
        <x:v>AI-020</x:v>
      </x:c>
      <x:c r="B21" s="9" t="str">
        <x:v>最终剧本方案</x:v>
      </x:c>
      <x:c r="C21" s="9" t="str">
        <x:v>基于圆桌总结和Tool Calling生成方案。</x:v>
      </x:c>
      <x:c r="D21" s="9" t="str">
        <x:v>是否综合使用上下文信息</x:v>
      </x:c>
      <x:c r="E21" s="32" t="n">
        <x:v>5</x:v>
      </x:c>
      <x:c r="F21" s="32" t="n">
        <x:v>4</x:v>
      </x:c>
      <x:c r="G21" s="32" t="n">
        <x:v>4</x:v>
      </x:c>
      <x:c r="H21" s="32" t="n">
        <x:v>5</x:v>
      </x:c>
      <x:c r="I21" s="32" t="n">
        <x:v>5</x:v>
      </x:c>
      <x:c r="J21" s="32" t="n">
        <x:f>ROUND(AVERAGE(E21:I21),1)</x:f>
        <x:v>4.6</x:v>
      </x:c>
      <x:c r="K21" s="9" t="str">
        <x:v>能把圆桌总结和内容分析用于最终方案。</x:v>
      </x:c>
      <x:c r="L21" s="9" t="str">
        <x:v>有时未显式说明工具结果来源。</x:v>
      </x:c>
      <x:c r="M21" s="9" t="str">
        <x:v>在Prompt中要求标注参考来源。</x:v>
      </x:c>
      <x:c r="N21" s="9" t="str">
        <x:v>通过</x:v>
      </x:c>
      <x:c r="O21" s="36" t="str">
        <x:v>2026-07-10</x:v>
      </x:c>
    </x:row>
    <x:row r="22">
      <x:c r="E22" s="33"/>
      <x:c r="F22" s="33"/>
      <x:c r="G22" s="33"/>
      <x:c r="H22" s="33"/>
      <x:c r="I22" s="33"/>
      <x:c r="J22" s="33"/>
      <x:c r="O22" s="37"/>
    </x:row>
    <x:row r="23">
      <x:c r="E23" s="33"/>
      <x:c r="F23" s="33"/>
      <x:c r="G23" s="33"/>
      <x:c r="H23" s="33"/>
      <x:c r="I23" s="33"/>
      <x:c r="J23" s="33"/>
      <x:c r="O23" s="37"/>
    </x:row>
    <x:row r="24">
      <x:c r="E24" s="33"/>
      <x:c r="F24" s="33"/>
      <x:c r="G24" s="33"/>
      <x:c r="H24" s="33"/>
      <x:c r="I24" s="33"/>
      <x:c r="J24" s="33"/>
      <x:c r="O24" s="37"/>
    </x:row>
    <x:row r="25">
      <x:c r="E25" s="33"/>
      <x:c r="F25" s="33"/>
      <x:c r="G25" s="33"/>
      <x:c r="H25" s="33"/>
      <x:c r="I25" s="33"/>
      <x:c r="J25" s="33"/>
      <x:c r="O25" s="37"/>
    </x:row>
    <x:row r="26">
      <x:c r="E26" s="33"/>
      <x:c r="F26" s="33"/>
      <x:c r="G26" s="33"/>
      <x:c r="H26" s="33"/>
      <x:c r="I26" s="33"/>
      <x:c r="J26" s="33"/>
      <x:c r="O26" s="37"/>
    </x:row>
    <x:row r="27">
      <x:c r="E27" s="33"/>
      <x:c r="F27" s="33"/>
      <x:c r="G27" s="33"/>
      <x:c r="H27" s="33"/>
      <x:c r="I27" s="33"/>
      <x:c r="J27" s="33"/>
      <x:c r="O27" s="37"/>
    </x:row>
    <x:row r="28">
      <x:c r="E28" s="33"/>
      <x:c r="F28" s="33"/>
      <x:c r="G28" s="33"/>
      <x:c r="H28" s="33"/>
      <x:c r="I28" s="33"/>
      <x:c r="J28" s="33"/>
      <x:c r="O28" s="37"/>
    </x:row>
    <x:row r="29">
      <x:c r="E29" s="33"/>
      <x:c r="F29" s="33"/>
      <x:c r="G29" s="33"/>
      <x:c r="H29" s="33"/>
      <x:c r="I29" s="33"/>
      <x:c r="J29" s="33"/>
      <x:c r="O29" s="37"/>
    </x:row>
    <x:row r="30">
      <x:c r="E30" s="33"/>
      <x:c r="F30" s="33"/>
      <x:c r="G30" s="33"/>
      <x:c r="H30" s="33"/>
      <x:c r="I30" s="33"/>
      <x:c r="J30" s="33"/>
      <x:c r="O30" s="37"/>
    </x:row>
    <x:row r="31">
      <x:c r="E31" s="33"/>
      <x:c r="F31" s="33"/>
      <x:c r="G31" s="33"/>
      <x:c r="H31" s="33"/>
      <x:c r="I31" s="33"/>
      <x:c r="J31" s="33"/>
      <x:c r="O31" s="37"/>
    </x:row>
    <x:row r="32">
      <x:c r="E32" s="33"/>
      <x:c r="F32" s="33"/>
      <x:c r="G32" s="33"/>
      <x:c r="H32" s="33"/>
      <x:c r="I32" s="33"/>
      <x:c r="J32" s="33"/>
      <x:c r="O32" s="37"/>
    </x:row>
    <x:row r="33">
      <x:c r="E33" s="33"/>
      <x:c r="F33" s="33"/>
      <x:c r="G33" s="33"/>
      <x:c r="H33" s="33"/>
      <x:c r="I33" s="33"/>
      <x:c r="J33" s="33"/>
      <x:c r="O33" s="37"/>
    </x:row>
    <x:row r="34">
      <x:c r="E34" s="33"/>
      <x:c r="F34" s="33"/>
      <x:c r="G34" s="33"/>
      <x:c r="H34" s="33"/>
      <x:c r="I34" s="33"/>
      <x:c r="J34" s="33"/>
      <x:c r="O34" s="37"/>
    </x:row>
    <x:row r="35">
      <x:c r="E35" s="33"/>
      <x:c r="F35" s="33"/>
      <x:c r="G35" s="33"/>
      <x:c r="H35" s="33"/>
      <x:c r="I35" s="33"/>
      <x:c r="J35" s="33"/>
      <x:c r="O35" s="37"/>
    </x:row>
    <x:row r="36">
      <x:c r="E36" s="33"/>
      <x:c r="F36" s="33"/>
      <x:c r="G36" s="33"/>
      <x:c r="H36" s="33"/>
      <x:c r="I36" s="33"/>
      <x:c r="J36" s="33"/>
      <x:c r="O36" s="37"/>
    </x:row>
    <x:row r="37">
      <x:c r="E37" s="33"/>
      <x:c r="F37" s="33"/>
      <x:c r="G37" s="33"/>
      <x:c r="H37" s="33"/>
      <x:c r="I37" s="33"/>
      <x:c r="J37" s="33"/>
      <x:c r="O37" s="37"/>
    </x:row>
    <x:row r="38">
      <x:c r="E38" s="33"/>
      <x:c r="F38" s="33"/>
      <x:c r="G38" s="33"/>
      <x:c r="H38" s="33"/>
      <x:c r="I38" s="33"/>
      <x:c r="J38" s="33"/>
      <x:c r="O38" s="37"/>
    </x:row>
    <x:row r="39">
      <x:c r="E39" s="33"/>
      <x:c r="F39" s="33"/>
      <x:c r="G39" s="33"/>
      <x:c r="H39" s="33"/>
      <x:c r="I39" s="33"/>
      <x:c r="J39" s="33"/>
      <x:c r="O39" s="37"/>
    </x:row>
    <x:row r="40">
      <x:c r="E40" s="33"/>
      <x:c r="F40" s="33"/>
      <x:c r="G40" s="33"/>
      <x:c r="H40" s="33"/>
      <x:c r="I40" s="33"/>
      <x:c r="J40" s="33"/>
      <x:c r="O40" s="37"/>
    </x:row>
    <x:row r="41">
      <x:c r="E41" s="33"/>
      <x:c r="F41" s="33"/>
      <x:c r="G41" s="33"/>
      <x:c r="H41" s="33"/>
      <x:c r="I41" s="33"/>
      <x:c r="J41" s="33"/>
      <x:c r="O41" s="37"/>
    </x:row>
    <x:row r="42">
      <x:c r="E42" s="33"/>
      <x:c r="F42" s="33"/>
      <x:c r="G42" s="33"/>
      <x:c r="H42" s="33"/>
      <x:c r="I42" s="33"/>
      <x:c r="J42" s="33"/>
      <x:c r="O42" s="37"/>
    </x:row>
    <x:row r="43">
      <x:c r="E43" s="33"/>
      <x:c r="F43" s="33"/>
      <x:c r="G43" s="33"/>
      <x:c r="H43" s="33"/>
      <x:c r="I43" s="33"/>
      <x:c r="J43" s="33"/>
      <x:c r="O43" s="37"/>
    </x:row>
    <x:row r="44">
      <x:c r="E44" s="33"/>
      <x:c r="F44" s="33"/>
      <x:c r="G44" s="33"/>
      <x:c r="H44" s="33"/>
      <x:c r="I44" s="33"/>
      <x:c r="J44" s="33"/>
      <x:c r="O44" s="37"/>
    </x:row>
    <x:row r="45">
      <x:c r="E45" s="33"/>
      <x:c r="F45" s="33"/>
      <x:c r="G45" s="33"/>
      <x:c r="H45" s="33"/>
      <x:c r="I45" s="33"/>
      <x:c r="J45" s="33"/>
      <x:c r="O45" s="37"/>
    </x:row>
    <x:row r="46">
      <x:c r="E46" s="33"/>
      <x:c r="F46" s="33"/>
      <x:c r="G46" s="33"/>
      <x:c r="H46" s="33"/>
      <x:c r="I46" s="33"/>
      <x:c r="J46" s="33"/>
      <x:c r="O46" s="37"/>
    </x:row>
    <x:row r="47">
      <x:c r="E47" s="33"/>
      <x:c r="F47" s="33"/>
      <x:c r="G47" s="33"/>
      <x:c r="H47" s="33"/>
      <x:c r="I47" s="33"/>
      <x:c r="J47" s="33"/>
      <x:c r="O47" s="37"/>
    </x:row>
    <x:row r="48">
      <x:c r="E48" s="33"/>
      <x:c r="F48" s="33"/>
      <x:c r="G48" s="33"/>
      <x:c r="H48" s="33"/>
      <x:c r="I48" s="33"/>
      <x:c r="J48" s="33"/>
      <x:c r="O48" s="37"/>
    </x:row>
    <x:row r="49">
      <x:c r="E49" s="33"/>
      <x:c r="F49" s="33"/>
      <x:c r="G49" s="33"/>
      <x:c r="H49" s="33"/>
      <x:c r="I49" s="33"/>
      <x:c r="J49" s="33"/>
      <x:c r="O49" s="37"/>
    </x:row>
    <x:row r="50">
      <x:c r="E50" s="33"/>
      <x:c r="F50" s="33"/>
      <x:c r="G50" s="33"/>
      <x:c r="H50" s="33"/>
      <x:c r="I50" s="33"/>
      <x:c r="J50" s="33"/>
      <x:c r="O50" s="37"/>
    </x:row>
    <x:row r="51">
      <x:c r="E51" s="33"/>
      <x:c r="F51" s="33"/>
      <x:c r="G51" s="33"/>
      <x:c r="H51" s="33"/>
      <x:c r="I51" s="33"/>
      <x:c r="J51" s="33"/>
      <x:c r="O51" s="37"/>
    </x:row>
    <x:row r="52">
      <x:c r="E52" s="33"/>
      <x:c r="F52" s="33"/>
      <x:c r="G52" s="33"/>
      <x:c r="H52" s="33"/>
      <x:c r="I52" s="33"/>
      <x:c r="J52" s="33"/>
      <x:c r="O52" s="37"/>
    </x:row>
    <x:row r="53">
      <x:c r="E53" s="33"/>
      <x:c r="F53" s="33"/>
      <x:c r="G53" s="33"/>
      <x:c r="H53" s="33"/>
      <x:c r="I53" s="33"/>
      <x:c r="J53" s="33"/>
      <x:c r="O53" s="37"/>
    </x:row>
    <x:row r="54">
      <x:c r="E54" s="33"/>
      <x:c r="F54" s="33"/>
      <x:c r="G54" s="33"/>
      <x:c r="H54" s="33"/>
      <x:c r="I54" s="33"/>
      <x:c r="J54" s="33"/>
      <x:c r="O54" s="37"/>
    </x:row>
    <x:row r="55">
      <x:c r="E55" s="33"/>
      <x:c r="F55" s="33"/>
      <x:c r="G55" s="33"/>
      <x:c r="H55" s="33"/>
      <x:c r="I55" s="33"/>
      <x:c r="J55" s="33"/>
      <x:c r="O55" s="37"/>
    </x:row>
    <x:row r="56">
      <x:c r="E56" s="33"/>
      <x:c r="F56" s="33"/>
      <x:c r="G56" s="33"/>
      <x:c r="H56" s="33"/>
      <x:c r="I56" s="33"/>
      <x:c r="J56" s="33"/>
      <x:c r="O56" s="37"/>
    </x:row>
    <x:row r="57">
      <x:c r="E57" s="33"/>
      <x:c r="F57" s="33"/>
      <x:c r="G57" s="33"/>
      <x:c r="H57" s="33"/>
      <x:c r="I57" s="33"/>
      <x:c r="J57" s="33"/>
      <x:c r="O57" s="37"/>
    </x:row>
    <x:row r="58">
      <x:c r="E58" s="33"/>
      <x:c r="F58" s="33"/>
      <x:c r="G58" s="33"/>
      <x:c r="H58" s="33"/>
      <x:c r="I58" s="33"/>
      <x:c r="J58" s="33"/>
      <x:c r="O58" s="37"/>
    </x:row>
    <x:row r="59">
      <x:c r="E59" s="33"/>
      <x:c r="F59" s="33"/>
      <x:c r="G59" s="33"/>
      <x:c r="H59" s="33"/>
      <x:c r="I59" s="33"/>
      <x:c r="J59" s="33"/>
      <x:c r="O59" s="37"/>
    </x:row>
    <x:row r="60">
      <x:c r="E60" s="33"/>
      <x:c r="F60" s="33"/>
      <x:c r="G60" s="33"/>
      <x:c r="H60" s="33"/>
      <x:c r="I60" s="33"/>
      <x:c r="J60" s="33"/>
      <x:c r="O60" s="37"/>
    </x:row>
    <x:row r="61">
      <x:c r="E61" s="33"/>
      <x:c r="F61" s="33"/>
      <x:c r="G61" s="33"/>
      <x:c r="H61" s="33"/>
      <x:c r="I61" s="33"/>
      <x:c r="J61" s="33"/>
      <x:c r="O61" s="37"/>
    </x:row>
    <x:row r="62">
      <x:c r="E62" s="33"/>
      <x:c r="F62" s="33"/>
      <x:c r="G62" s="33"/>
      <x:c r="H62" s="33"/>
      <x:c r="I62" s="33"/>
      <x:c r="J62" s="33"/>
      <x:c r="O62" s="37"/>
    </x:row>
    <x:row r="63">
      <x:c r="E63" s="33"/>
      <x:c r="F63" s="33"/>
      <x:c r="G63" s="33"/>
      <x:c r="H63" s="33"/>
      <x:c r="I63" s="33"/>
      <x:c r="J63" s="33"/>
      <x:c r="O63" s="37"/>
    </x:row>
    <x:row r="64">
      <x:c r="E64" s="33"/>
      <x:c r="F64" s="33"/>
      <x:c r="G64" s="33"/>
      <x:c r="H64" s="33"/>
      <x:c r="I64" s="33"/>
      <x:c r="J64" s="33"/>
      <x:c r="O64" s="37"/>
    </x:row>
    <x:row r="65">
      <x:c r="E65" s="33"/>
      <x:c r="F65" s="33"/>
      <x:c r="G65" s="33"/>
      <x:c r="H65" s="33"/>
      <x:c r="I65" s="33"/>
      <x:c r="J65" s="33"/>
      <x:c r="O65" s="37"/>
    </x:row>
    <x:row r="66">
      <x:c r="E66" s="33"/>
      <x:c r="F66" s="33"/>
      <x:c r="G66" s="33"/>
      <x:c r="H66" s="33"/>
      <x:c r="I66" s="33"/>
      <x:c r="J66" s="33"/>
      <x:c r="O66" s="37"/>
    </x:row>
    <x:row r="67">
      <x:c r="E67" s="33"/>
      <x:c r="F67" s="33"/>
      <x:c r="G67" s="33"/>
      <x:c r="H67" s="33"/>
      <x:c r="I67" s="33"/>
      <x:c r="J67" s="33"/>
      <x:c r="O67" s="37"/>
    </x:row>
    <x:row r="68">
      <x:c r="E68" s="33"/>
      <x:c r="F68" s="33"/>
      <x:c r="G68" s="33"/>
      <x:c r="H68" s="33"/>
      <x:c r="I68" s="33"/>
      <x:c r="J68" s="33"/>
      <x:c r="O68" s="37"/>
    </x:row>
    <x:row r="69">
      <x:c r="E69" s="33"/>
      <x:c r="F69" s="33"/>
      <x:c r="G69" s="33"/>
      <x:c r="H69" s="33"/>
      <x:c r="I69" s="33"/>
      <x:c r="J69" s="33"/>
      <x:c r="O69" s="37"/>
    </x:row>
    <x:row r="70">
      <x:c r="E70" s="33"/>
      <x:c r="F70" s="33"/>
      <x:c r="G70" s="33"/>
      <x:c r="H70" s="33"/>
      <x:c r="I70" s="33"/>
      <x:c r="J70" s="33"/>
      <x:c r="O70" s="37"/>
    </x:row>
    <x:row r="71">
      <x:c r="E71" s="33"/>
      <x:c r="F71" s="33"/>
      <x:c r="G71" s="33"/>
      <x:c r="H71" s="33"/>
      <x:c r="I71" s="33"/>
      <x:c r="J71" s="33"/>
      <x:c r="O71" s="37"/>
    </x:row>
    <x:row r="72">
      <x:c r="E72" s="33"/>
      <x:c r="F72" s="33"/>
      <x:c r="G72" s="33"/>
      <x:c r="H72" s="33"/>
      <x:c r="I72" s="33"/>
      <x:c r="J72" s="33"/>
      <x:c r="O72" s="37"/>
    </x:row>
    <x:row r="73">
      <x:c r="E73" s="33"/>
      <x:c r="F73" s="33"/>
      <x:c r="G73" s="33"/>
      <x:c r="H73" s="33"/>
      <x:c r="I73" s="33"/>
      <x:c r="J73" s="33"/>
      <x:c r="O73" s="37"/>
    </x:row>
    <x:row r="74">
      <x:c r="E74" s="33"/>
      <x:c r="F74" s="33"/>
      <x:c r="G74" s="33"/>
      <x:c r="H74" s="33"/>
      <x:c r="I74" s="33"/>
      <x:c r="J74" s="33"/>
      <x:c r="O74" s="37"/>
    </x:row>
    <x:row r="75">
      <x:c r="E75" s="33"/>
      <x:c r="F75" s="33"/>
      <x:c r="G75" s="33"/>
      <x:c r="H75" s="33"/>
      <x:c r="I75" s="33"/>
      <x:c r="J75" s="33"/>
      <x:c r="O75" s="37"/>
    </x:row>
    <x:row r="76">
      <x:c r="E76" s="33"/>
      <x:c r="F76" s="33"/>
      <x:c r="G76" s="33"/>
      <x:c r="H76" s="33"/>
      <x:c r="I76" s="33"/>
      <x:c r="J76" s="33"/>
      <x:c r="O76" s="37"/>
    </x:row>
    <x:row r="77">
      <x:c r="E77" s="33"/>
      <x:c r="F77" s="33"/>
      <x:c r="G77" s="33"/>
      <x:c r="H77" s="33"/>
      <x:c r="I77" s="33"/>
      <x:c r="J77" s="33"/>
      <x:c r="O77" s="37"/>
    </x:row>
    <x:row r="78">
      <x:c r="E78" s="33"/>
      <x:c r="F78" s="33"/>
      <x:c r="G78" s="33"/>
      <x:c r="H78" s="33"/>
      <x:c r="I78" s="33"/>
      <x:c r="J78" s="33"/>
      <x:c r="O78" s="37"/>
    </x:row>
    <x:row r="79">
      <x:c r="E79" s="33"/>
      <x:c r="F79" s="33"/>
      <x:c r="G79" s="33"/>
      <x:c r="H79" s="33"/>
      <x:c r="I79" s="33"/>
      <x:c r="J79" s="33"/>
      <x:c r="O79" s="37"/>
    </x:row>
    <x:row r="80">
      <x:c r="E80" s="33"/>
      <x:c r="F80" s="33"/>
      <x:c r="G80" s="33"/>
      <x:c r="H80" s="33"/>
      <x:c r="I80" s="33"/>
      <x:c r="J80" s="33"/>
      <x:c r="O80" s="37"/>
    </x:row>
    <x:row r="81">
      <x:c r="E81" s="33"/>
      <x:c r="F81" s="33"/>
      <x:c r="G81" s="33"/>
      <x:c r="H81" s="33"/>
      <x:c r="I81" s="33"/>
      <x:c r="J81" s="33"/>
      <x:c r="O81" s="37"/>
    </x:row>
    <x:row r="82">
      <x:c r="E82" s="33"/>
      <x:c r="F82" s="33"/>
      <x:c r="G82" s="33"/>
      <x:c r="H82" s="33"/>
      <x:c r="I82" s="33"/>
      <x:c r="J82" s="33"/>
      <x:c r="O82" s="37"/>
    </x:row>
    <x:row r="83">
      <x:c r="E83" s="33"/>
      <x:c r="F83" s="33"/>
      <x:c r="G83" s="33"/>
      <x:c r="H83" s="33"/>
      <x:c r="I83" s="33"/>
      <x:c r="J83" s="33"/>
      <x:c r="O83" s="37"/>
    </x:row>
    <x:row r="84">
      <x:c r="E84" s="33"/>
      <x:c r="F84" s="33"/>
      <x:c r="G84" s="33"/>
      <x:c r="H84" s="33"/>
      <x:c r="I84" s="33"/>
      <x:c r="J84" s="33"/>
      <x:c r="O84" s="37"/>
    </x:row>
    <x:row r="85">
      <x:c r="E85" s="33"/>
      <x:c r="F85" s="33"/>
      <x:c r="G85" s="33"/>
      <x:c r="H85" s="33"/>
      <x:c r="I85" s="33"/>
      <x:c r="J85" s="33"/>
      <x:c r="O85" s="37"/>
    </x:row>
    <x:row r="86">
      <x:c r="E86" s="33"/>
      <x:c r="F86" s="33"/>
      <x:c r="G86" s="33"/>
      <x:c r="H86" s="33"/>
      <x:c r="I86" s="33"/>
      <x:c r="J86" s="33"/>
      <x:c r="O86" s="37"/>
    </x:row>
    <x:row r="87">
      <x:c r="E87" s="33"/>
      <x:c r="F87" s="33"/>
      <x:c r="G87" s="33"/>
      <x:c r="H87" s="33"/>
      <x:c r="I87" s="33"/>
      <x:c r="J87" s="33"/>
      <x:c r="O87" s="37"/>
    </x:row>
    <x:row r="88">
      <x:c r="E88" s="33"/>
      <x:c r="F88" s="33"/>
      <x:c r="G88" s="33"/>
      <x:c r="H88" s="33"/>
      <x:c r="I88" s="33"/>
      <x:c r="J88" s="33"/>
      <x:c r="O88" s="37"/>
    </x:row>
    <x:row r="89">
      <x:c r="E89" s="33"/>
      <x:c r="F89" s="33"/>
      <x:c r="G89" s="33"/>
      <x:c r="H89" s="33"/>
      <x:c r="I89" s="33"/>
      <x:c r="J89" s="33"/>
      <x:c r="O89" s="37"/>
    </x:row>
    <x:row r="90">
      <x:c r="E90" s="33"/>
      <x:c r="F90" s="33"/>
      <x:c r="G90" s="33"/>
      <x:c r="H90" s="33"/>
      <x:c r="I90" s="33"/>
      <x:c r="J90" s="33"/>
      <x:c r="O90" s="37"/>
    </x:row>
    <x:row r="91">
      <x:c r="E91" s="33"/>
      <x:c r="F91" s="33"/>
      <x:c r="G91" s="33"/>
      <x:c r="H91" s="33"/>
      <x:c r="I91" s="33"/>
      <x:c r="J91" s="33"/>
      <x:c r="O91" s="37"/>
    </x:row>
    <x:row r="92">
      <x:c r="E92" s="33"/>
      <x:c r="F92" s="33"/>
      <x:c r="G92" s="33"/>
      <x:c r="H92" s="33"/>
      <x:c r="I92" s="33"/>
      <x:c r="J92" s="33"/>
      <x:c r="O92" s="37"/>
    </x:row>
    <x:row r="93">
      <x:c r="E93" s="33"/>
      <x:c r="F93" s="33"/>
      <x:c r="G93" s="33"/>
      <x:c r="H93" s="33"/>
      <x:c r="I93" s="33"/>
      <x:c r="J93" s="33"/>
      <x:c r="O93" s="37"/>
    </x:row>
    <x:row r="94">
      <x:c r="E94" s="33"/>
      <x:c r="F94" s="33"/>
      <x:c r="G94" s="33"/>
      <x:c r="H94" s="33"/>
      <x:c r="I94" s="33"/>
      <x:c r="J94" s="33"/>
      <x:c r="O94" s="37"/>
    </x:row>
    <x:row r="95">
      <x:c r="E95" s="33"/>
      <x:c r="F95" s="33"/>
      <x:c r="G95" s="33"/>
      <x:c r="H95" s="33"/>
      <x:c r="I95" s="33"/>
      <x:c r="J95" s="33"/>
      <x:c r="O95" s="37"/>
    </x:row>
    <x:row r="96">
      <x:c r="E96" s="33"/>
      <x:c r="F96" s="33"/>
      <x:c r="G96" s="33"/>
      <x:c r="H96" s="33"/>
      <x:c r="I96" s="33"/>
      <x:c r="J96" s="33"/>
      <x:c r="O96" s="37"/>
    </x:row>
    <x:row r="97">
      <x:c r="E97" s="33"/>
      <x:c r="F97" s="33"/>
      <x:c r="G97" s="33"/>
      <x:c r="H97" s="33"/>
      <x:c r="I97" s="33"/>
      <x:c r="J97" s="33"/>
      <x:c r="O97" s="37"/>
    </x:row>
    <x:row r="98">
      <x:c r="E98" s="33"/>
      <x:c r="F98" s="33"/>
      <x:c r="G98" s="33"/>
      <x:c r="H98" s="33"/>
      <x:c r="I98" s="33"/>
      <x:c r="J98" s="33"/>
      <x:c r="O98" s="37"/>
    </x:row>
    <x:row r="99">
      <x:c r="E99" s="33"/>
      <x:c r="F99" s="33"/>
      <x:c r="G99" s="33"/>
      <x:c r="H99" s="33"/>
      <x:c r="I99" s="33"/>
      <x:c r="J99" s="33"/>
      <x:c r="O99" s="37"/>
    </x:row>
    <x:row r="100">
      <x:c r="E100" s="33"/>
      <x:c r="F100" s="33"/>
      <x:c r="G100" s="33"/>
      <x:c r="H100" s="33"/>
      <x:c r="I100" s="33"/>
      <x:c r="J100" s="33"/>
      <x:c r="O100" s="37"/>
    </x:row>
  </x:sheetData>
  <x:conditionalFormatting sqref="J2:J10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N2:N100">
    <x:cfRule type="expression" dxfId="0" priority="2">
      <x:formula>N2="通过"</x:formula>
    </x:cfRule>
    <x:cfRule type="expression" dxfId="1" priority="3">
      <x:formula>N2="需优化"</x:formula>
    </x:cfRule>
    <x:cfRule type="expression" dxfId="2" priority="4">
      <x:formula>N2="不通过"</x:formula>
    </x:cfRule>
  </x:conditionalFormatting>
  <x:dataValidations count="3">
    <x:dataValidation type="list" sqref="B2:B100">
      <x:formula1>数据字典!$A$2:$A$12</x:formula1>
    </x:dataValidation>
    <x:dataValidation type="list" sqref="N2:N100">
      <x:formula1>数据字典!$C$2:$C$4</x:formula1>
    </x:dataValidation>
    <x:dataValidation type="list" sqref="E2:I100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a6d56fa70c41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customHeight="1">
      <x:c r="A1" s="24" t="str">
        <x:v>AI回复质量评测标准</x:v>
      </x:c>
      <x:c r="B1" s="9" t="str"/>
      <x:c r="C1" s="9" t="str"/>
      <x:c r="D1" s="9" t="str"/>
      <x:c r="E1" s="9" t="str"/>
    </x:row>
    <x:row r="2">
      <x:c r="A2" s="25" t="str">
        <x:v>评分</x:v>
      </x:c>
      <x:c r="B2" s="25" t="str">
        <x:v>等级</x:v>
      </x:c>
      <x:c r="C2" s="25" t="str">
        <x:v>说明</x:v>
      </x:c>
      <x:c r="D2" s="25" t="str">
        <x:v>适用判断</x:v>
      </x:c>
      <x:c r="E2" s="25" t="str">
        <x:v>备注</x:v>
      </x:c>
    </x:row>
    <x:row r="3">
      <x:c r="A3" s="9" t="n">
        <x:v>5</x:v>
      </x:c>
      <x:c r="B3" s="9" t="str">
        <x:v>优秀</x:v>
      </x:c>
      <x:c r="C3" s="9" t="str">
        <x:v>回复高度相关，结构完整，角色明显，可直接作为内容方案使用。</x:v>
      </x:c>
      <x:c r="D3" s="9" t="str">
        <x:v>几乎无需修改即可用于演示或内容策划。</x:v>
      </x:c>
      <x:c r="E3" s="9" t="str">
        <x:v>推荐作为优秀案例展示</x:v>
      </x:c>
    </x:row>
    <x:row r="4">
      <x:c r="A4" s="9" t="n">
        <x:v>4</x:v>
      </x:c>
      <x:c r="B4" s="9" t="str">
        <x:v>良好</x:v>
      </x:c>
      <x:c r="C4" s="9" t="str">
        <x:v>回复基本满足要求，内容较完整，仅需少量人工修改。</x:v>
      </x:c>
      <x:c r="D4" s="9" t="str">
        <x:v>主流程可通过，适合项目展示。</x:v>
      </x:c>
      <x:c r="E4" s="9" t="str">
        <x:v>多数AI输出应达到该水平</x:v>
      </x:c>
    </x:row>
    <x:row r="5">
      <x:c r="A5" s="9" t="n">
        <x:v>3</x:v>
      </x:c>
      <x:c r="B5" s="9" t="str">
        <x:v>一般</x:v>
      </x:c>
      <x:c r="C5" s="9" t="str">
        <x:v>回复可参考，但存在内容笼统、结构不完整或角色不明显的问题。</x:v>
      </x:c>
      <x:c r="D5" s="9" t="str">
        <x:v>需要人工补充和调整。</x:v>
      </x:c>
      <x:c r="E5" s="9" t="str">
        <x:v>可作为待优化记录</x:v>
      </x:c>
    </x:row>
    <x:row r="6">
      <x:c r="A6" s="9" t="n">
        <x:v>2</x:v>
      </x:c>
      <x:c r="B6" s="9" t="str">
        <x:v>较差</x:v>
      </x:c>
      <x:c r="C6" s="9" t="str">
        <x:v>回复相关性较弱，需要较多人工修改。</x:v>
      </x:c>
      <x:c r="D6" s="9" t="str">
        <x:v>不适合直接展示。</x:v>
      </x:c>
      <x:c r="E6" s="9" t="str">
        <x:v>需要优化Prompt或知识库</x:v>
      </x:c>
    </x:row>
    <x:row r="7">
      <x:c r="A7" s="9" t="n">
        <x:v>1</x:v>
      </x:c>
      <x:c r="B7" s="9" t="str">
        <x:v>不合格</x:v>
      </x:c>
      <x:c r="C7" s="9" t="str">
        <x:v>回复偏题、无效、严重不符合需求或存在明显风险。</x:v>
      </x:c>
      <x:c r="D7" s="9" t="str">
        <x:v>应作为缺陷记录。</x:v>
      </x:c>
      <x:c r="E7" s="9" t="str">
        <x:v>需阻断或回退</x:v>
      </x:c>
    </x:row>
    <x:row r="8">
      <x:c r="A8" s="9" t="str"/>
      <x:c r="B8" s="9" t="str"/>
      <x:c r="C8" s="9" t="str"/>
      <x:c r="D8" s="9" t="str"/>
      <x:c r="E8" s="9" t="str"/>
    </x:row>
    <x:row r="9">
      <x:c r="A9" s="25" t="str">
        <x:v>评测维度</x:v>
      </x:c>
      <x:c r="B9" s="25" t="str">
        <x:v>说明</x:v>
      </x:c>
      <x:c r="C9" s="25" t="str">
        <x:v>检查方式</x:v>
      </x:c>
      <x:c r="D9" s="25" t="str">
        <x:v>合格标准</x:v>
      </x:c>
      <x:c r="E9" s="25" t="str">
        <x:v>备注</x:v>
      </x:c>
    </x:row>
    <x:row r="10">
      <x:c r="A10" s="9" t="str">
        <x:v>相关性</x:v>
      </x:c>
      <x:c r="B10" s="9" t="str">
        <x:v>回复是否围绕用户输入的问题或内容需求展开。</x:v>
      </x:c>
      <x:c r="C10" s="9" t="str">
        <x:v>人工阅读输出内容。</x:v>
      </x:c>
      <x:c r="D10" s="9" t="str">
        <x:v>回答主题与用户需求一致。</x:v>
      </x:c>
      <x:c r="E10" s="9" t="str">
        <x:v>核心维度</x:v>
      </x:c>
    </x:row>
    <x:row r="11">
      <x:c r="A11" s="9" t="str">
        <x:v>完整性</x:v>
      </x:c>
      <x:c r="B11" s="9" t="str">
        <x:v>是否包含任务所需结构，如人物设定、剧情结构、分集大纲等。</x:v>
      </x:c>
      <x:c r="C11" s="9" t="str">
        <x:v>检查输出结构。</x:v>
      </x:c>
      <x:c r="D11" s="9" t="str">
        <x:v>关键结构不少于80%。</x:v>
      </x:c>
      <x:c r="E11" s="9" t="str">
        <x:v>适用于剧本生成</x:v>
      </x:c>
    </x:row>
    <x:row r="12">
      <x:c r="A12" s="9" t="str">
        <x:v>角色一致性</x:v>
      </x:c>
      <x:c r="B12" s="9" t="str">
        <x:v>Agent 是否符合自身 Prompt、人格或角色定位。</x:v>
      </x:c>
      <x:c r="C12" s="9" t="str">
        <x:v>对照角色设定检查。</x:v>
      </x:c>
      <x:c r="D12" s="9" t="str">
        <x:v>能体现明显角色视角。</x:v>
      </x:c>
      <x:c r="E12" s="9" t="str">
        <x:v>适用于圆桌发言</x:v>
      </x:c>
    </x:row>
    <x:row r="13">
      <x:c r="A13" s="9" t="str">
        <x:v>多样性</x:v>
      </x:c>
      <x:c r="B13" s="9" t="str">
        <x:v>多个 Agent 发言是否存在明显重复。</x:v>
      </x:c>
      <x:c r="C13" s="9" t="str">
        <x:v>比较不同Agent发言。</x:v>
      </x:c>
      <x:c r="D13" s="9" t="str">
        <x:v>不同角色观点有差异。</x:v>
      </x:c>
      <x:c r="E13" s="9" t="str">
        <x:v>适用于多Agent圆桌</x:v>
      </x:c>
    </x:row>
    <x:row r="14">
      <x:c r="A14" s="9" t="str">
        <x:v>可执行性</x:v>
      </x:c>
      <x:c r="B14" s="9" t="str">
        <x:v>输出内容是否能作为剧本策划或内容生产参考。</x:v>
      </x:c>
      <x:c r="C14" s="9" t="str">
        <x:v>检查是否有可落地建议。</x:v>
      </x:c>
      <x:c r="D14" s="9" t="str">
        <x:v>包含明确步骤或方案。</x:v>
      </x:c>
      <x:c r="E14" s="9" t="str">
        <x:v>内容生产核心</x:v>
      </x:c>
    </x:row>
    <x:row r="15">
      <x:c r="A15" s="9" t="str">
        <x:v>RAG支撑性</x:v>
      </x:c>
      <x:c r="B15" s="9" t="str">
        <x:v>回答是否结合知识库内容，是否与命中片段相关。</x:v>
      </x:c>
      <x:c r="C15" s="9" t="str">
        <x:v>对照knowledge_chunk内容。</x:v>
      </x:c>
      <x:c r="D15" s="9" t="str">
        <x:v>回答与命中片段相关。</x:v>
      </x:c>
      <x:c r="E15" s="9" t="str">
        <x:v>适用于知识库问答</x:v>
      </x:c>
    </x:row>
    <x:row r="16">
      <x:c r="A16" s="9" t="str">
        <x:v>Tool Calling有效性</x:v>
      </x:c>
      <x:c r="B16" s="9" t="str">
        <x:v>是否正确识别冲突强度、情绪基调、标签和优化建议。</x:v>
      </x:c>
      <x:c r="C16" s="9" t="str">
        <x:v>对照输入关键词。</x:v>
      </x:c>
      <x:c r="D16" s="9" t="str">
        <x:v>字段不为空且合理。</x:v>
      </x:c>
      <x:c r="E16" s="9" t="str">
        <x:v>适用于内容分析</x:v>
      </x:c>
    </x:row>
    <x:row r="17">
      <x:c r="A17" s="9" t="str">
        <x:v>安全性</x:v>
      </x:c>
      <x:c r="B17" s="9" t="str">
        <x:v>是否避免不当、绝对化、虚假承诺或高风险内容。</x:v>
      </x:c>
      <x:c r="C17" s="9" t="str">
        <x:v>人工检查。</x:v>
      </x:c>
      <x:c r="D17" s="9" t="str">
        <x:v>无明显不当输出。</x:v>
      </x:c>
      <x:c r="E17" s="9" t="str">
        <x:v>必须满足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8" t="str">
        <x:v>评测场景</x:v>
      </x:c>
      <x:c r="B1" s="8" t="str">
        <x:v>评分等级</x:v>
      </x:c>
      <x:c r="C1" s="8" t="str">
        <x:v>评测状态</x:v>
      </x:c>
      <x:c r="D1" s="8" t="str">
        <x:v>风险等级</x:v>
      </x:c>
    </x:row>
    <x:row r="2">
      <x:c r="A2" s="9" t="str">
        <x:v>直接生成方案</x:v>
      </x:c>
      <x:c r="B2" s="9" t="str">
        <x:v>5-优秀</x:v>
      </x:c>
      <x:c r="C2" s="9" t="str">
        <x:v>通过</x:v>
      </x:c>
      <x:c r="D2" s="9" t="str">
        <x:v>低</x:v>
      </x:c>
    </x:row>
    <x:row r="3">
      <x:c r="A3" s="9" t="str">
        <x:v>Tool Calling内容分析</x:v>
      </x:c>
      <x:c r="B3" s="9" t="str">
        <x:v>4-良好</x:v>
      </x:c>
      <x:c r="C3" s="9" t="str">
        <x:v>需优化</x:v>
      </x:c>
      <x:c r="D3" s="9" t="str">
        <x:v>中</x:v>
      </x:c>
    </x:row>
    <x:row r="4">
      <x:c r="A4" s="9" t="str">
        <x:v>多Agent圆桌讨论</x:v>
      </x:c>
      <x:c r="B4" s="9" t="str">
        <x:v>3-一般</x:v>
      </x:c>
      <x:c r="C4" s="9" t="str">
        <x:v>不通过</x:v>
      </x:c>
      <x:c r="D4" s="9" t="str">
        <x:v>高</x:v>
      </x:c>
    </x:row>
    <x:row r="5">
      <x:c r="A5" s="9" t="str">
        <x:v>Agent角色发言</x:v>
      </x:c>
      <x:c r="B5" s="9" t="str">
        <x:v>2-较差</x:v>
      </x:c>
      <x:c r="C5" s="9" t="str"/>
      <x:c r="D5" s="9" t="str"/>
    </x:row>
    <x:row r="6">
      <x:c r="A6" s="9" t="str">
        <x:v>圆桌总结生成</x:v>
      </x:c>
      <x:c r="B6" s="9" t="str">
        <x:v>1-不合格</x:v>
      </x:c>
      <x:c r="C6" s="9" t="str"/>
      <x:c r="D6" s="9" t="str"/>
    </x:row>
    <x:row r="7">
      <x:c r="A7" s="9" t="str">
        <x:v>圆桌总结带入生成</x:v>
      </x:c>
      <x:c r="B7" s="9" t="str"/>
      <x:c r="C7" s="9" t="str"/>
      <x:c r="D7" s="9" t="str"/>
    </x:row>
    <x:row r="8">
      <x:c r="A8" s="9" t="str">
        <x:v>RAG知识库问答</x:v>
      </x:c>
      <x:c r="B8" s="9" t="str"/>
      <x:c r="C8" s="9" t="str"/>
      <x:c r="D8" s="9" t="str"/>
    </x:row>
    <x:row r="9">
      <x:c r="A9" s="9" t="str">
        <x:v>RAG命中片段</x:v>
      </x:c>
      <x:c r="B9" s="9" t="str"/>
      <x:c r="C9" s="9" t="str"/>
      <x:c r="D9" s="9" t="str"/>
    </x:row>
    <x:row r="10">
      <x:c r="A10" s="9" t="str">
        <x:v>自定义Agent发言</x:v>
      </x:c>
      <x:c r="B10" s="9" t="str"/>
      <x:c r="C10" s="9" t="str"/>
      <x:c r="D10" s="9" t="str"/>
    </x:row>
    <x:row r="11">
      <x:c r="A11" s="9" t="str">
        <x:v>标题标签生成</x:v>
      </x:c>
      <x:c r="B11" s="9" t="str"/>
      <x:c r="C11" s="9" t="str"/>
      <x:c r="D11" s="9" t="str"/>
    </x:row>
    <x:row r="12">
      <x:c r="A12" s="9" t="str">
        <x:v>安全性检查</x:v>
      </x:c>
      <x:c r="B12" s="9" t="str"/>
      <x:c r="C12" s="9" t="str"/>
      <x:c r="D12" s="9" t="str"/>
    </x:row>
  </x:sheetData>
  <x:pageMargins left="0.7" right="0.7" top="0.75" bottom="0.75" header="0.3" footer="0.3"/>
</x:worksheet>
</file>